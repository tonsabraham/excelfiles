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ASCO\Sample\Sample\"/>
    </mc:Choice>
  </mc:AlternateContent>
  <bookViews>
    <workbookView xWindow="0" yWindow="108" windowWidth="15480" windowHeight="9216"/>
  </bookViews>
  <sheets>
    <sheet name="Attach-3" sheetId="2" r:id="rId1"/>
  </sheets>
  <externalReferences>
    <externalReference r:id="rId2"/>
  </externalReferences>
  <definedNames>
    <definedName name="\A">#REF!</definedName>
    <definedName name="\B">#REF!</definedName>
    <definedName name="\C">#REF!</definedName>
    <definedName name="\E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_Fill" hidden="1">#REF!</definedName>
    <definedName name="_MatInverse_In" hidden="1">#REF!</definedName>
    <definedName name="HEADDAYA3">[1]Calendar!$U$65:$AA$70,[1]Calendar!$L$65:$R$70,[1]Calendar!$C$65:$I$70,[1]Calendar!$C$51:$I$56,[1]Calendar!$L$51:$R$56,[1]Calendar!$U$51:$AA$56,[1]Calendar!$U$37:$AA$42,[1]Calendar!$L$37:$R$41,[1]Calendar!$L$42:$R$42,[1]Calendar!$C$37:$I$42,[1]Calendar!$C$23:$I$28,[1]Calendar!$L$23:$R$28,[1]Calendar!$U$23:$AA$28</definedName>
    <definedName name="HEADDAYA4">[1]Calendar!$C$23:$I$28,[1]Calendar!$L$23,[1]Calendar!$R$23,[1]Calendar!$L$23:$R$28,[1]Calendar!$U$23:$AA$28,[1]Calendar!$C$37:$I$42,[1]Calendar!$L$37:$R$42,[1]Calendar!$U$37:$AA$42,[1]Calendar!$C$51:$I$56,[1]Calendar!$L$51:$R$55,[1]Calendar!$L$51:$R$56,[1]Calendar!$U$51:$AA$55,[1]Calendar!$AA$55,[1]Calendar!$U$51:$AA$56,[1]Calendar!$C$65:$I$70,[1]Calendar!$L$65:$R$70,[1]Calendar!$U$65:$AA$70</definedName>
    <definedName name="HEADWEEKA3">[1]Calendar!$C$22:$I$22,[1]Calendar!$L$22:$R$22,[1]Calendar!$U$22:$AA$22,[1]Calendar!$C$36:$I$36,[1]Calendar!$L$36:$R$36,[1]Calendar!$U$36:$AA$36,[1]Calendar!$C$50:$I$50,[1]Calendar!$L$50:$R$50,[1]Calendar!$U$50:$AA$50,[1]Calendar!$C$64:$I$64,[1]Calendar!$L$64:$R$64,[1]Calendar!$U$64:$AA$64</definedName>
    <definedName name="HEADWEEKA4">[1]Calendar!$C$22:$I$22,[1]Calendar!$L$22:$R$22,[1]Calendar!$U$22:$AA$22,[1]Calendar!$U$36:$AA$36,[1]Calendar!$L$36:$R$36,[1]Calendar!$C$36:$I$36,[1]Calendar!$U$50:$AA$50,[1]Calendar!$L$50:$R$50,[1]Calendar!$C$50:$I$50,[1]Calendar!$U$64:$AA$64,[1]Calendar!$L$64:$R$64,[1]Calendar!$C$64:$I$64</definedName>
    <definedName name="_xlnm.Print_Area" localSheetId="0">'Attach-3'!$A$1:$AE$73</definedName>
    <definedName name="_xlnm.Print_Titles" localSheetId="0">'Attach-3'!$1:$7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XXX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</definedNames>
  <calcPr calcId="152511"/>
</workbook>
</file>

<file path=xl/calcChain.xml><?xml version="1.0" encoding="utf-8"?>
<calcChain xmlns="http://schemas.openxmlformats.org/spreadsheetml/2006/main">
  <c r="AD66" i="2" l="1"/>
  <c r="AD65" i="2"/>
  <c r="AD64" i="2"/>
  <c r="AD63" i="2"/>
  <c r="AD61" i="2"/>
  <c r="AD60" i="2"/>
  <c r="AD58" i="2"/>
  <c r="AD57" i="2"/>
  <c r="AD56" i="2"/>
  <c r="AD55" i="2"/>
  <c r="AD52" i="2"/>
  <c r="AD51" i="2"/>
  <c r="AD49" i="2"/>
  <c r="AD48" i="2"/>
  <c r="AD47" i="2"/>
  <c r="AD46" i="2"/>
  <c r="AD45" i="2"/>
  <c r="AD44" i="2"/>
  <c r="AD43" i="2"/>
  <c r="AD42" i="2"/>
  <c r="AD38" i="2"/>
  <c r="AD37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19" i="2"/>
  <c r="AD18" i="2"/>
  <c r="AD17" i="2"/>
  <c r="AD16" i="2"/>
  <c r="AD15" i="2"/>
  <c r="AD14" i="2"/>
  <c r="AD13" i="2"/>
  <c r="AD12" i="2"/>
  <c r="AD11" i="2"/>
  <c r="AD10" i="2"/>
  <c r="E66" i="2"/>
  <c r="E65" i="2"/>
  <c r="E64" i="2"/>
  <c r="E63" i="2"/>
  <c r="E61" i="2"/>
  <c r="E60" i="2"/>
  <c r="E58" i="2"/>
  <c r="E57" i="2"/>
  <c r="E56" i="2"/>
  <c r="E55" i="2"/>
  <c r="E52" i="2"/>
  <c r="E51" i="2"/>
  <c r="E49" i="2"/>
  <c r="E48" i="2"/>
  <c r="E47" i="2"/>
  <c r="E46" i="2"/>
  <c r="E45" i="2"/>
  <c r="E44" i="2"/>
  <c r="E43" i="2"/>
  <c r="E42" i="2"/>
  <c r="E37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18" i="2"/>
  <c r="E17" i="2"/>
  <c r="E16" i="2"/>
  <c r="E15" i="2"/>
  <c r="E14" i="2"/>
  <c r="E13" i="2"/>
  <c r="E12" i="2"/>
  <c r="E11" i="2"/>
  <c r="E10" i="2"/>
  <c r="G6" i="2" l="1"/>
  <c r="H6" i="2" s="1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G7" i="2"/>
  <c r="H7" i="2" s="1"/>
  <c r="I7" i="2" s="1"/>
  <c r="J7" i="2" s="1"/>
  <c r="K7" i="2" s="1"/>
  <c r="L7" i="2" s="1"/>
  <c r="M7" i="2" s="1"/>
  <c r="N7" i="2" s="1"/>
  <c r="O7" i="2" s="1"/>
  <c r="P7" i="2" s="1"/>
  <c r="Q7" i="2" s="1"/>
  <c r="R7" i="2" s="1"/>
  <c r="S7" i="2" s="1"/>
  <c r="T7" i="2" l="1"/>
  <c r="U7" i="2" s="1"/>
  <c r="V7" i="2" s="1"/>
  <c r="W7" i="2" s="1"/>
  <c r="X7" i="2" s="1"/>
  <c r="Y7" i="2" s="1"/>
  <c r="Z7" i="2" s="1"/>
  <c r="AA7" i="2" s="1"/>
  <c r="AB7" i="2" s="1"/>
  <c r="AC7" i="2" s="1"/>
  <c r="T6" i="2"/>
  <c r="U6" i="2" s="1"/>
  <c r="V6" i="2" s="1"/>
  <c r="W6" i="2" s="1"/>
  <c r="X6" i="2" s="1"/>
  <c r="Y6" i="2" s="1"/>
  <c r="Z6" i="2" s="1"/>
  <c r="AA6" i="2" s="1"/>
  <c r="AB6" i="2" s="1"/>
  <c r="AC6" i="2" s="1"/>
</calcChain>
</file>

<file path=xl/sharedStrings.xml><?xml version="1.0" encoding="utf-8"?>
<sst xmlns="http://schemas.openxmlformats.org/spreadsheetml/2006/main" count="70" uniqueCount="65">
  <si>
    <t xml:space="preserve"> </t>
  </si>
  <si>
    <t>Designation / Title</t>
  </si>
  <si>
    <t>Total Est.
(Man-months)</t>
  </si>
  <si>
    <t>a)</t>
  </si>
  <si>
    <t>Project Manager</t>
  </si>
  <si>
    <t>b)</t>
  </si>
  <si>
    <t>Others (please specify)</t>
  </si>
  <si>
    <t>Engineering Manager</t>
  </si>
  <si>
    <t>HSE Engineer</t>
  </si>
  <si>
    <t>Draftsman</t>
  </si>
  <si>
    <t>Procurement Engineer / Buyer</t>
  </si>
  <si>
    <t>Grand Total (Monthwise)</t>
  </si>
  <si>
    <t>SR No</t>
  </si>
  <si>
    <t>Peak
(Nos)</t>
  </si>
  <si>
    <t xml:space="preserve"> Monthwise Quantity
Planned to be Mobilised (Nos.)</t>
  </si>
  <si>
    <t>Process Engineer</t>
  </si>
  <si>
    <t>Piping Engineer</t>
  </si>
  <si>
    <t>Mech. / HVAC Engineer</t>
  </si>
  <si>
    <t>Pipeline Engineer</t>
  </si>
  <si>
    <t>Civil / Struct. Engineer</t>
  </si>
  <si>
    <t>Electrical Engineer</t>
  </si>
  <si>
    <t>Instr. Engineer</t>
  </si>
  <si>
    <t>SMC / Telecom Engineer</t>
  </si>
  <si>
    <t>Designer</t>
  </si>
  <si>
    <t>CAD Operator</t>
  </si>
  <si>
    <t>Contracts Engineer</t>
  </si>
  <si>
    <t>Commissioning Engineer</t>
  </si>
  <si>
    <t>Other Manpower</t>
  </si>
  <si>
    <t>Commissioning &amp; Start-up</t>
  </si>
  <si>
    <t>Vendor Representatives</t>
  </si>
  <si>
    <t>Project Management &amp; Support Services</t>
  </si>
  <si>
    <t>INDIRECT MANPOWER</t>
  </si>
  <si>
    <t>1.1</t>
  </si>
  <si>
    <t>1.2</t>
  </si>
  <si>
    <t>DIRECT MANPOWER</t>
  </si>
  <si>
    <t>Supervision Staff</t>
  </si>
  <si>
    <t>Non-supervisory Staff
(CONTRACTOR to indicate Details separately against each discipline)</t>
  </si>
  <si>
    <t>2.1</t>
  </si>
  <si>
    <t>2.2</t>
  </si>
  <si>
    <t>2.3</t>
  </si>
  <si>
    <t>Material Control/Expediting Engineers</t>
  </si>
  <si>
    <t xml:space="preserve">1) Engineering Services - Main Contractor </t>
  </si>
  <si>
    <t xml:space="preserve">2) Engineering Services - Sub Contractor </t>
  </si>
  <si>
    <t xml:space="preserve">Construction Manager </t>
  </si>
  <si>
    <t>Project Engineers</t>
  </si>
  <si>
    <t>Planning Engineer</t>
  </si>
  <si>
    <t>QA /QC Engineer</t>
  </si>
  <si>
    <t xml:space="preserve">MEP / Subcontract Co ordinator </t>
  </si>
  <si>
    <t xml:space="preserve">Supervisors / Formen </t>
  </si>
  <si>
    <t xml:space="preserve">Others (Please specify) </t>
  </si>
  <si>
    <t>Project Control Manager</t>
  </si>
  <si>
    <t>QA/QC Manager</t>
  </si>
  <si>
    <t xml:space="preserve">HSE Manager </t>
  </si>
  <si>
    <t>1</t>
  </si>
  <si>
    <t>2</t>
  </si>
  <si>
    <t xml:space="preserve">1) General / Civil </t>
  </si>
  <si>
    <t xml:space="preserve">2) Other Discipline / Subcontractor Manpower </t>
  </si>
  <si>
    <t xml:space="preserve">1) MainContractor Manpower </t>
  </si>
  <si>
    <t>2) Subcontractor Manpower</t>
  </si>
  <si>
    <t xml:space="preserve">Sub-Total (1.1) </t>
  </si>
  <si>
    <t xml:space="preserve">Sub-Total (1.2) </t>
  </si>
  <si>
    <t>Sub-Total (2)</t>
  </si>
  <si>
    <t>Manpower Deployment</t>
  </si>
  <si>
    <t xml:space="preserve">To be detailed by Tenderer/Contractor </t>
  </si>
  <si>
    <t>Notes If any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</si>
</sst>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\ _S_k_-;\-* #,##0.00\ _S_k_-;_-* &quot;-&quot;??\ _S_k_-;_-@_-"/>
    <numFmt numFmtId="165" formatCode="_-* #,##0\ _S_k_-;\-* #,##0\ _S_k_-;_-* &quot;-&quot;\ _S_k_-;_-@_-"/>
  </numFmts>
  <fonts count="20">
    <font>
      <sz val="10"/>
      <name val="Arial"/>
    </font>
    <font>
      <sz val="10"/>
      <name val="Arial"/>
      <family val="2"/>
    </font>
    <font>
      <b/>
      <u/>
      <sz val="26"/>
      <name val="Arial"/>
      <family val="2"/>
    </font>
    <font>
      <sz val="8"/>
      <name val="Arial"/>
      <family val="2"/>
      <charset val="178"/>
    </font>
    <font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u/>
      <sz val="12"/>
      <name val="Arial"/>
      <family val="2"/>
    </font>
    <font>
      <b/>
      <u/>
      <sz val="11"/>
      <name val="Arial"/>
      <family val="2"/>
    </font>
    <font>
      <b/>
      <u/>
      <sz val="18"/>
      <name val="Arial"/>
      <family val="2"/>
    </font>
    <font>
      <b/>
      <sz val="18"/>
      <name val="Arial"/>
      <family val="2"/>
    </font>
    <font>
      <sz val="20"/>
      <name val="Arial"/>
      <family val="2"/>
    </font>
    <font>
      <b/>
      <u/>
      <sz val="25"/>
      <name val="Arial"/>
      <family val="2"/>
    </font>
    <font>
      <b/>
      <u/>
      <sz val="24"/>
      <name val="Arial"/>
      <family val="2"/>
    </font>
    <font>
      <sz val="12"/>
      <name val="바탕체"/>
      <family val="1"/>
      <charset val="129"/>
    </font>
    <font>
      <b/>
      <sz val="9"/>
      <name val="Arial"/>
      <family val="2"/>
    </font>
    <font>
      <b/>
      <sz val="14"/>
      <name val="Arial"/>
      <family val="2"/>
    </font>
    <font>
      <sz val="2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6" fillId="0" borderId="0" applyProtection="0"/>
    <xf numFmtId="0" fontId="1" fillId="0" borderId="0"/>
    <xf numFmtId="0" fontId="1" fillId="0" borderId="0"/>
  </cellStyleXfs>
  <cellXfs count="100">
    <xf numFmtId="0" fontId="0" fillId="0" borderId="0" xfId="0"/>
    <xf numFmtId="0" fontId="3" fillId="0" borderId="0" xfId="3" applyFont="1" applyBorder="1"/>
    <xf numFmtId="0" fontId="3" fillId="0" borderId="0" xfId="3" applyFont="1" applyBorder="1" applyAlignment="1">
      <alignment horizontal="center"/>
    </xf>
    <xf numFmtId="0" fontId="4" fillId="0" borderId="0" xfId="3" applyFont="1" applyBorder="1"/>
    <xf numFmtId="0" fontId="3" fillId="0" borderId="0" xfId="3" applyFont="1"/>
    <xf numFmtId="0" fontId="5" fillId="0" borderId="0" xfId="3" applyFont="1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5" fillId="0" borderId="0" xfId="3" applyFont="1" applyBorder="1"/>
    <xf numFmtId="0" fontId="5" fillId="0" borderId="0" xfId="3" applyFont="1"/>
    <xf numFmtId="0" fontId="7" fillId="0" borderId="0" xfId="3" applyFont="1" applyBorder="1" applyAlignment="1">
      <alignment vertical="center"/>
    </xf>
    <xf numFmtId="0" fontId="7" fillId="0" borderId="0" xfId="3" applyFont="1" applyAlignment="1">
      <alignment vertical="center"/>
    </xf>
    <xf numFmtId="0" fontId="5" fillId="0" borderId="0" xfId="3" applyFont="1" applyBorder="1" applyAlignment="1">
      <alignment vertical="center"/>
    </xf>
    <xf numFmtId="0" fontId="5" fillId="0" borderId="4" xfId="3" applyFont="1" applyBorder="1" applyAlignment="1">
      <alignment horizontal="center" vertical="center"/>
    </xf>
    <xf numFmtId="0" fontId="5" fillId="0" borderId="5" xfId="3" applyFont="1" applyBorder="1" applyAlignment="1">
      <alignment vertical="center"/>
    </xf>
    <xf numFmtId="0" fontId="5" fillId="0" borderId="6" xfId="3" applyFont="1" applyBorder="1" applyAlignment="1">
      <alignment vertical="center"/>
    </xf>
    <xf numFmtId="0" fontId="5" fillId="0" borderId="6" xfId="3" applyFont="1" applyBorder="1" applyAlignment="1">
      <alignment horizontal="center" vertical="center"/>
    </xf>
    <xf numFmtId="0" fontId="5" fillId="0" borderId="0" xfId="3" applyFont="1" applyAlignment="1">
      <alignment vertical="center"/>
    </xf>
    <xf numFmtId="0" fontId="5" fillId="0" borderId="2" xfId="3" applyFont="1" applyBorder="1" applyAlignment="1">
      <alignment vertical="center"/>
    </xf>
    <xf numFmtId="0" fontId="5" fillId="0" borderId="2" xfId="3" applyFont="1" applyBorder="1" applyAlignment="1">
      <alignment horizontal="center" vertical="center"/>
    </xf>
    <xf numFmtId="0" fontId="5" fillId="0" borderId="3" xfId="3" applyFont="1" applyBorder="1" applyAlignment="1">
      <alignment vertical="center"/>
    </xf>
    <xf numFmtId="0" fontId="5" fillId="0" borderId="0" xfId="3" applyFont="1" applyBorder="1" applyAlignment="1">
      <alignment horizontal="center"/>
    </xf>
    <xf numFmtId="0" fontId="9" fillId="0" borderId="2" xfId="3" applyFont="1" applyBorder="1" applyAlignment="1">
      <alignment horizontal="left" vertical="center"/>
    </xf>
    <xf numFmtId="49" fontId="5" fillId="0" borderId="1" xfId="3" applyNumberFormat="1" applyFont="1" applyBorder="1" applyAlignment="1">
      <alignment horizontal="center" vertical="center"/>
    </xf>
    <xf numFmtId="0" fontId="5" fillId="0" borderId="11" xfId="3" applyFont="1" applyBorder="1" applyAlignment="1">
      <alignment vertical="center"/>
    </xf>
    <xf numFmtId="0" fontId="11" fillId="0" borderId="0" xfId="3" applyFont="1" applyBorder="1" applyAlignment="1">
      <alignment horizontal="center"/>
    </xf>
    <xf numFmtId="0" fontId="12" fillId="0" borderId="0" xfId="3" applyFont="1" applyBorder="1" applyAlignment="1">
      <alignment horizontal="center"/>
    </xf>
    <xf numFmtId="0" fontId="3" fillId="0" borderId="0" xfId="3" applyFont="1" applyAlignment="1">
      <alignment horizontal="center"/>
    </xf>
    <xf numFmtId="0" fontId="4" fillId="0" borderId="0" xfId="3" applyFont="1"/>
    <xf numFmtId="0" fontId="2" fillId="0" borderId="0" xfId="3" applyFont="1" applyBorder="1" applyAlignment="1">
      <alignment horizontal="center"/>
    </xf>
    <xf numFmtId="0" fontId="13" fillId="0" borderId="0" xfId="3" applyFont="1"/>
    <xf numFmtId="0" fontId="14" fillId="0" borderId="0" xfId="3" applyFont="1" applyBorder="1" applyAlignment="1">
      <alignment horizontal="center"/>
    </xf>
    <xf numFmtId="0" fontId="15" fillId="0" borderId="0" xfId="3" applyFont="1" applyBorder="1" applyAlignment="1">
      <alignment wrapText="1"/>
    </xf>
    <xf numFmtId="0" fontId="13" fillId="0" borderId="0" xfId="3" applyFont="1" applyBorder="1"/>
    <xf numFmtId="0" fontId="14" fillId="0" borderId="0" xfId="3" applyFont="1" applyBorder="1" applyAlignment="1">
      <alignment horizontal="center" wrapText="1"/>
    </xf>
    <xf numFmtId="0" fontId="2" fillId="0" borderId="0" xfId="3" applyFont="1" applyBorder="1" applyAlignment="1">
      <alignment horizontal="centerContinuous"/>
    </xf>
    <xf numFmtId="0" fontId="5" fillId="0" borderId="0" xfId="3" applyFont="1" applyFill="1" applyBorder="1"/>
    <xf numFmtId="49" fontId="5" fillId="0" borderId="1" xfId="3" applyNumberFormat="1" applyFont="1" applyFill="1" applyBorder="1" applyAlignment="1">
      <alignment horizontal="center" vertical="center"/>
    </xf>
    <xf numFmtId="49" fontId="8" fillId="0" borderId="1" xfId="3" quotePrefix="1" applyNumberFormat="1" applyFont="1" applyBorder="1" applyAlignment="1">
      <alignment horizontal="center" vertical="center"/>
    </xf>
    <xf numFmtId="0" fontId="5" fillId="0" borderId="0" xfId="3" applyFont="1" applyBorder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10" fillId="0" borderId="11" xfId="3" applyFont="1" applyBorder="1" applyAlignment="1">
      <alignment horizontal="left" vertical="center" wrapText="1"/>
    </xf>
    <xf numFmtId="0" fontId="10" fillId="0" borderId="4" xfId="3" applyFont="1" applyBorder="1" applyAlignment="1">
      <alignment horizontal="left" vertical="center"/>
    </xf>
    <xf numFmtId="0" fontId="9" fillId="0" borderId="6" xfId="3" applyFont="1" applyBorder="1" applyAlignment="1">
      <alignment horizontal="left" vertical="center"/>
    </xf>
    <xf numFmtId="0" fontId="5" fillId="0" borderId="28" xfId="3" applyFont="1" applyBorder="1" applyAlignment="1">
      <alignment horizontal="center" vertical="center"/>
    </xf>
    <xf numFmtId="0" fontId="5" fillId="0" borderId="29" xfId="3" applyFont="1" applyBorder="1" applyAlignment="1">
      <alignment vertical="center"/>
    </xf>
    <xf numFmtId="0" fontId="5" fillId="0" borderId="30" xfId="3" applyFont="1" applyBorder="1" applyAlignment="1">
      <alignment vertical="center"/>
    </xf>
    <xf numFmtId="0" fontId="5" fillId="0" borderId="30" xfId="3" applyFont="1" applyBorder="1" applyAlignment="1">
      <alignment horizontal="center" vertical="center"/>
    </xf>
    <xf numFmtId="0" fontId="5" fillId="0" borderId="31" xfId="3" applyFont="1" applyBorder="1" applyAlignment="1">
      <alignment vertical="center"/>
    </xf>
    <xf numFmtId="0" fontId="5" fillId="0" borderId="5" xfId="3" applyFont="1" applyFill="1" applyBorder="1" applyAlignment="1">
      <alignment vertical="center"/>
    </xf>
    <xf numFmtId="0" fontId="9" fillId="0" borderId="4" xfId="3" applyFont="1" applyFill="1" applyBorder="1" applyAlignment="1">
      <alignment horizontal="left" vertical="center"/>
    </xf>
    <xf numFmtId="0" fontId="9" fillId="0" borderId="11" xfId="3" applyFont="1" applyFill="1" applyBorder="1" applyAlignment="1">
      <alignment horizontal="left" vertical="center" wrapText="1"/>
    </xf>
    <xf numFmtId="0" fontId="5" fillId="0" borderId="6" xfId="3" applyFont="1" applyFill="1" applyBorder="1" applyAlignment="1">
      <alignment vertical="center"/>
    </xf>
    <xf numFmtId="0" fontId="5" fillId="0" borderId="6" xfId="3" applyFont="1" applyFill="1" applyBorder="1" applyAlignment="1">
      <alignment horizontal="center" vertical="center"/>
    </xf>
    <xf numFmtId="0" fontId="5" fillId="0" borderId="11" xfId="3" applyFont="1" applyFill="1" applyBorder="1" applyAlignment="1">
      <alignment vertical="center"/>
    </xf>
    <xf numFmtId="0" fontId="9" fillId="0" borderId="5" xfId="3" applyFont="1" applyFill="1" applyBorder="1" applyAlignment="1">
      <alignment horizontal="left" vertical="center" wrapText="1"/>
    </xf>
    <xf numFmtId="0" fontId="9" fillId="0" borderId="4" xfId="3" applyFont="1" applyFill="1" applyBorder="1" applyAlignment="1">
      <alignment vertical="center"/>
    </xf>
    <xf numFmtId="0" fontId="10" fillId="0" borderId="17" xfId="3" applyFont="1" applyBorder="1" applyAlignment="1">
      <alignment horizontal="left" vertical="center"/>
    </xf>
    <xf numFmtId="0" fontId="10" fillId="0" borderId="18" xfId="3" applyFont="1" applyBorder="1" applyAlignment="1">
      <alignment horizontal="left" vertical="center"/>
    </xf>
    <xf numFmtId="0" fontId="5" fillId="0" borderId="11" xfId="3" applyFont="1" applyFill="1" applyBorder="1" applyAlignment="1">
      <alignment horizontal="center" vertical="center"/>
    </xf>
    <xf numFmtId="0" fontId="8" fillId="2" borderId="16" xfId="3" applyFont="1" applyFill="1" applyBorder="1" applyAlignment="1">
      <alignment horizontal="center" vertical="center"/>
    </xf>
    <xf numFmtId="17" fontId="17" fillId="2" borderId="16" xfId="3" applyNumberFormat="1" applyFont="1" applyFill="1" applyBorder="1" applyAlignment="1">
      <alignment horizontal="center" vertical="center"/>
    </xf>
    <xf numFmtId="0" fontId="5" fillId="2" borderId="7" xfId="3" applyFont="1" applyFill="1" applyBorder="1" applyAlignment="1">
      <alignment horizontal="center" vertical="center"/>
    </xf>
    <xf numFmtId="0" fontId="5" fillId="2" borderId="8" xfId="3" applyFont="1" applyFill="1" applyBorder="1" applyAlignment="1">
      <alignment horizontal="center" vertical="center"/>
    </xf>
    <xf numFmtId="0" fontId="6" fillId="2" borderId="8" xfId="3" applyFont="1" applyFill="1" applyBorder="1" applyAlignment="1">
      <alignment horizontal="center" vertical="center"/>
    </xf>
    <xf numFmtId="0" fontId="6" fillId="2" borderId="9" xfId="3" applyFont="1" applyFill="1" applyBorder="1" applyAlignment="1">
      <alignment horizontal="center" vertical="center"/>
    </xf>
    <xf numFmtId="0" fontId="5" fillId="2" borderId="9" xfId="3" applyFont="1" applyFill="1" applyBorder="1" applyAlignment="1">
      <alignment horizontal="center" vertical="center"/>
    </xf>
    <xf numFmtId="0" fontId="5" fillId="2" borderId="10" xfId="3" applyFont="1" applyFill="1" applyBorder="1" applyAlignment="1">
      <alignment vertical="center"/>
    </xf>
    <xf numFmtId="0" fontId="12" fillId="0" borderId="0" xfId="2" applyFont="1" applyAlignment="1">
      <alignment vertical="top" wrapText="1"/>
    </xf>
    <xf numFmtId="0" fontId="10" fillId="0" borderId="4" xfId="3" applyFont="1" applyBorder="1" applyAlignment="1">
      <alignment horizontal="left" vertical="center" wrapText="1"/>
    </xf>
    <xf numFmtId="0" fontId="10" fillId="0" borderId="11" xfId="3" applyFont="1" applyBorder="1" applyAlignment="1">
      <alignment horizontal="left" vertical="center" wrapText="1"/>
    </xf>
    <xf numFmtId="0" fontId="8" fillId="2" borderId="19" xfId="3" applyFont="1" applyFill="1" applyBorder="1" applyAlignment="1">
      <alignment horizontal="center" vertical="center" wrapText="1"/>
    </xf>
    <xf numFmtId="0" fontId="8" fillId="2" borderId="1" xfId="3" applyFont="1" applyFill="1" applyBorder="1" applyAlignment="1">
      <alignment horizontal="center" vertical="center" wrapText="1"/>
    </xf>
    <xf numFmtId="0" fontId="8" fillId="2" borderId="20" xfId="3" applyFont="1" applyFill="1" applyBorder="1" applyAlignment="1">
      <alignment horizontal="center" vertical="center"/>
    </xf>
    <xf numFmtId="0" fontId="8" fillId="2" borderId="21" xfId="3" applyFont="1" applyFill="1" applyBorder="1" applyAlignment="1">
      <alignment horizontal="center" vertical="center"/>
    </xf>
    <xf numFmtId="0" fontId="8" fillId="2" borderId="22" xfId="3" applyFont="1" applyFill="1" applyBorder="1" applyAlignment="1">
      <alignment horizontal="center" vertical="center"/>
    </xf>
    <xf numFmtId="0" fontId="8" fillId="2" borderId="0" xfId="3" applyFont="1" applyFill="1" applyBorder="1" applyAlignment="1">
      <alignment horizontal="center" vertical="center"/>
    </xf>
    <xf numFmtId="0" fontId="8" fillId="2" borderId="23" xfId="3" applyFont="1" applyFill="1" applyBorder="1" applyAlignment="1">
      <alignment horizontal="center" vertical="center" wrapText="1"/>
    </xf>
    <xf numFmtId="0" fontId="8" fillId="2" borderId="2" xfId="3" applyFont="1" applyFill="1" applyBorder="1" applyAlignment="1">
      <alignment horizontal="center" vertical="center" wrapText="1"/>
    </xf>
    <xf numFmtId="0" fontId="8" fillId="2" borderId="2" xfId="3" applyFont="1" applyFill="1" applyBorder="1" applyAlignment="1">
      <alignment horizontal="center" vertical="center"/>
    </xf>
    <xf numFmtId="0" fontId="8" fillId="2" borderId="24" xfId="3" applyFont="1" applyFill="1" applyBorder="1" applyAlignment="1">
      <alignment horizontal="center" vertical="center" wrapText="1"/>
    </xf>
    <xf numFmtId="0" fontId="8" fillId="2" borderId="25" xfId="3" applyFont="1" applyFill="1" applyBorder="1" applyAlignment="1">
      <alignment horizontal="center" vertical="center" wrapText="1"/>
    </xf>
    <xf numFmtId="49" fontId="6" fillId="3" borderId="1" xfId="3" quotePrefix="1" applyNumberFormat="1" applyFont="1" applyFill="1" applyBorder="1" applyAlignment="1">
      <alignment horizontal="center" vertical="center"/>
    </xf>
    <xf numFmtId="0" fontId="6" fillId="3" borderId="26" xfId="3" applyFont="1" applyFill="1" applyBorder="1" applyAlignment="1">
      <alignment horizontal="left" vertical="center" wrapText="1"/>
    </xf>
    <xf numFmtId="0" fontId="6" fillId="3" borderId="27" xfId="3" applyFont="1" applyFill="1" applyBorder="1" applyAlignment="1">
      <alignment horizontal="left" vertical="center" wrapText="1"/>
    </xf>
    <xf numFmtId="0" fontId="10" fillId="3" borderId="2" xfId="3" applyFont="1" applyFill="1" applyBorder="1" applyAlignment="1">
      <alignment horizontal="left" vertical="center"/>
    </xf>
    <xf numFmtId="0" fontId="7" fillId="3" borderId="2" xfId="3" applyFont="1" applyFill="1" applyBorder="1" applyAlignment="1">
      <alignment horizontal="center" vertical="center"/>
    </xf>
    <xf numFmtId="0" fontId="7" fillId="3" borderId="3" xfId="3" applyFont="1" applyFill="1" applyBorder="1" applyAlignment="1">
      <alignment vertical="center"/>
    </xf>
    <xf numFmtId="0" fontId="6" fillId="3" borderId="17" xfId="3" applyFont="1" applyFill="1" applyBorder="1" applyAlignment="1">
      <alignment horizontal="left" vertical="center" wrapText="1"/>
    </xf>
    <xf numFmtId="0" fontId="6" fillId="3" borderId="18" xfId="3" applyFont="1" applyFill="1" applyBorder="1" applyAlignment="1">
      <alignment horizontal="left" vertical="center" wrapText="1"/>
    </xf>
    <xf numFmtId="0" fontId="5" fillId="3" borderId="12" xfId="3" applyFont="1" applyFill="1" applyBorder="1" applyAlignment="1">
      <alignment horizontal="center" vertical="center"/>
    </xf>
    <xf numFmtId="0" fontId="5" fillId="3" borderId="13" xfId="3" applyFont="1" applyFill="1" applyBorder="1" applyAlignment="1">
      <alignment horizontal="center" vertical="center"/>
    </xf>
    <xf numFmtId="0" fontId="18" fillId="3" borderId="13" xfId="3" applyFont="1" applyFill="1" applyBorder="1" applyAlignment="1">
      <alignment horizontal="right" vertical="center"/>
    </xf>
    <xf numFmtId="0" fontId="6" fillId="3" borderId="14" xfId="3" applyFont="1" applyFill="1" applyBorder="1" applyAlignment="1">
      <alignment horizontal="center" vertical="center"/>
    </xf>
    <xf numFmtId="0" fontId="5" fillId="3" borderId="14" xfId="3" applyFont="1" applyFill="1" applyBorder="1" applyAlignment="1">
      <alignment horizontal="center" vertical="center"/>
    </xf>
    <xf numFmtId="0" fontId="5" fillId="3" borderId="15" xfId="3" applyFont="1" applyFill="1" applyBorder="1" applyAlignment="1">
      <alignment vertical="center"/>
    </xf>
    <xf numFmtId="0" fontId="19" fillId="4" borderId="0" xfId="3" applyFont="1" applyFill="1" applyBorder="1" applyAlignment="1">
      <alignment horizontal="center" vertical="center" wrapText="1"/>
    </xf>
    <xf numFmtId="0" fontId="11" fillId="0" borderId="0" xfId="3" applyFont="1" applyBorder="1" applyAlignment="1">
      <alignment horizontal="left"/>
    </xf>
    <xf numFmtId="0" fontId="12" fillId="0" borderId="0" xfId="2" applyFont="1" applyAlignment="1">
      <alignment vertical="top"/>
    </xf>
    <xf numFmtId="0" fontId="12" fillId="0" borderId="0" xfId="3" applyFont="1" applyBorder="1" applyAlignment="1">
      <alignment vertical="top"/>
    </xf>
    <xf numFmtId="0" fontId="1" fillId="0" borderId="0" xfId="2" applyAlignment="1">
      <alignment vertical="top"/>
    </xf>
  </cellXfs>
  <cellStyles count="10">
    <cellStyle name="Comma 2" xfId="1"/>
    <cellStyle name="Normal" xfId="0" builtinId="0"/>
    <cellStyle name="Normal 2" xfId="2"/>
    <cellStyle name="Normal 2 2" xfId="9"/>
    <cellStyle name="Normal_HO manpower deploy sch" xfId="3"/>
    <cellStyle name="Œ…‹æØ‚è [0.00]_Sheet2" xfId="4"/>
    <cellStyle name="Œ…‹æØ‚è_Sheet2" xfId="5"/>
    <cellStyle name="Percent 2" xfId="6"/>
    <cellStyle name="표준_LGEN" xfId="7"/>
    <cellStyle name="標準_STDFOR" xfId="8"/>
  </cellStyles>
  <dxfs count="0"/>
  <tableStyles count="0" defaultTableStyle="TableStyleMedium9" defaultPivotStyle="PivotStyleLight16"/>
  <colors>
    <mruColors>
      <color rgb="FFCCEC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227823</xdr:colOff>
      <xdr:row>19</xdr:row>
      <xdr:rowOff>171727</xdr:rowOff>
    </xdr:from>
    <xdr:ext cx="7298318" cy="3205957"/>
    <xdr:sp macro="" textlink="">
      <xdr:nvSpPr>
        <xdr:cNvPr id="3" name="Rectangle 2"/>
        <xdr:cNvSpPr/>
      </xdr:nvSpPr>
      <xdr:spPr>
        <a:xfrm rot="20214819">
          <a:off x="9510368" y="6042591"/>
          <a:ext cx="7298318" cy="3205957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13800" b="1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</a:rPr>
            <a:t>SAMPLE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plng03/My%20Documents/Calende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endar"/>
    </sheetNames>
    <sheetDataSet>
      <sheetData sheetId="0">
        <row r="22">
          <cell r="C22" t="str">
            <v>SUN</v>
          </cell>
          <cell r="D22" t="str">
            <v>MON</v>
          </cell>
          <cell r="E22" t="str">
            <v>TUE</v>
          </cell>
          <cell r="F22" t="str">
            <v>WED</v>
          </cell>
          <cell r="G22" t="str">
            <v>THU</v>
          </cell>
          <cell r="H22" t="str">
            <v>FRI</v>
          </cell>
          <cell r="I22" t="str">
            <v>SAT</v>
          </cell>
          <cell r="L22" t="str">
            <v>SUN</v>
          </cell>
          <cell r="M22" t="str">
            <v>MON</v>
          </cell>
          <cell r="N22" t="str">
            <v>TUE</v>
          </cell>
          <cell r="O22" t="str">
            <v>WED</v>
          </cell>
          <cell r="P22" t="str">
            <v>THU</v>
          </cell>
          <cell r="Q22" t="str">
            <v>FRI</v>
          </cell>
          <cell r="R22" t="str">
            <v>SAT</v>
          </cell>
          <cell r="U22" t="str">
            <v>SUN</v>
          </cell>
          <cell r="V22" t="str">
            <v>MON</v>
          </cell>
          <cell r="W22" t="str">
            <v>TUE</v>
          </cell>
          <cell r="X22" t="str">
            <v>WED</v>
          </cell>
          <cell r="Y22" t="str">
            <v>THU</v>
          </cell>
          <cell r="Z22" t="str">
            <v>FRI</v>
          </cell>
          <cell r="AA22" t="str">
            <v>SAT</v>
          </cell>
        </row>
        <row r="23">
          <cell r="C23">
            <v>1</v>
          </cell>
          <cell r="D23">
            <v>2</v>
          </cell>
          <cell r="E23">
            <v>3</v>
          </cell>
          <cell r="F23">
            <v>4</v>
          </cell>
          <cell r="G23">
            <v>5</v>
          </cell>
          <cell r="H23">
            <v>6</v>
          </cell>
          <cell r="I23">
            <v>7</v>
          </cell>
          <cell r="L23">
            <v>0</v>
          </cell>
          <cell r="M23">
            <v>0</v>
          </cell>
          <cell r="N23">
            <v>0</v>
          </cell>
          <cell r="O23">
            <v>1</v>
          </cell>
          <cell r="P23">
            <v>2</v>
          </cell>
          <cell r="Q23">
            <v>3</v>
          </cell>
          <cell r="R23">
            <v>4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1</v>
          </cell>
          <cell r="Z23">
            <v>2</v>
          </cell>
          <cell r="AA23">
            <v>3</v>
          </cell>
        </row>
        <row r="24">
          <cell r="C24">
            <v>8</v>
          </cell>
          <cell r="D24">
            <v>9</v>
          </cell>
          <cell r="E24">
            <v>10</v>
          </cell>
          <cell r="F24">
            <v>11</v>
          </cell>
          <cell r="G24">
            <v>12</v>
          </cell>
          <cell r="H24">
            <v>13</v>
          </cell>
          <cell r="I24">
            <v>14</v>
          </cell>
          <cell r="L24">
            <v>5</v>
          </cell>
          <cell r="M24">
            <v>6</v>
          </cell>
          <cell r="N24">
            <v>7</v>
          </cell>
          <cell r="O24">
            <v>8</v>
          </cell>
          <cell r="P24">
            <v>9</v>
          </cell>
          <cell r="Q24">
            <v>10</v>
          </cell>
          <cell r="R24">
            <v>11</v>
          </cell>
          <cell r="U24">
            <v>4</v>
          </cell>
          <cell r="V24">
            <v>5</v>
          </cell>
          <cell r="W24">
            <v>6</v>
          </cell>
          <cell r="X24">
            <v>7</v>
          </cell>
          <cell r="Y24">
            <v>8</v>
          </cell>
          <cell r="Z24">
            <v>9</v>
          </cell>
          <cell r="AA24">
            <v>10</v>
          </cell>
        </row>
        <row r="25">
          <cell r="C25">
            <v>15</v>
          </cell>
          <cell r="D25">
            <v>16</v>
          </cell>
          <cell r="E25">
            <v>17</v>
          </cell>
          <cell r="F25">
            <v>18</v>
          </cell>
          <cell r="G25">
            <v>19</v>
          </cell>
          <cell r="H25">
            <v>20</v>
          </cell>
          <cell r="I25">
            <v>21</v>
          </cell>
          <cell r="L25">
            <v>12</v>
          </cell>
          <cell r="M25">
            <v>13</v>
          </cell>
          <cell r="N25">
            <v>14</v>
          </cell>
          <cell r="O25">
            <v>15</v>
          </cell>
          <cell r="P25">
            <v>16</v>
          </cell>
          <cell r="Q25">
            <v>17</v>
          </cell>
          <cell r="R25">
            <v>18</v>
          </cell>
          <cell r="U25">
            <v>11</v>
          </cell>
          <cell r="V25">
            <v>12</v>
          </cell>
          <cell r="W25">
            <v>13</v>
          </cell>
          <cell r="X25">
            <v>14</v>
          </cell>
          <cell r="Y25">
            <v>15</v>
          </cell>
          <cell r="Z25">
            <v>16</v>
          </cell>
          <cell r="AA25">
            <v>17</v>
          </cell>
        </row>
        <row r="26">
          <cell r="C26">
            <v>22</v>
          </cell>
          <cell r="D26">
            <v>23</v>
          </cell>
          <cell r="E26">
            <v>24</v>
          </cell>
          <cell r="F26">
            <v>25</v>
          </cell>
          <cell r="G26">
            <v>26</v>
          </cell>
          <cell r="H26">
            <v>27</v>
          </cell>
          <cell r="I26">
            <v>28</v>
          </cell>
          <cell r="L26">
            <v>19</v>
          </cell>
          <cell r="M26">
            <v>20</v>
          </cell>
          <cell r="N26">
            <v>21</v>
          </cell>
          <cell r="O26">
            <v>22</v>
          </cell>
          <cell r="P26">
            <v>23</v>
          </cell>
          <cell r="Q26">
            <v>24</v>
          </cell>
          <cell r="R26">
            <v>25</v>
          </cell>
          <cell r="U26">
            <v>18</v>
          </cell>
          <cell r="V26">
            <v>19</v>
          </cell>
          <cell r="W26">
            <v>20</v>
          </cell>
          <cell r="X26">
            <v>21</v>
          </cell>
          <cell r="Y26">
            <v>22</v>
          </cell>
          <cell r="Z26">
            <v>23</v>
          </cell>
          <cell r="AA26">
            <v>24</v>
          </cell>
        </row>
        <row r="27">
          <cell r="C27">
            <v>29</v>
          </cell>
          <cell r="D27">
            <v>30</v>
          </cell>
          <cell r="E27">
            <v>31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L27">
            <v>26</v>
          </cell>
          <cell r="M27">
            <v>27</v>
          </cell>
          <cell r="N27">
            <v>28</v>
          </cell>
          <cell r="O27">
            <v>29</v>
          </cell>
          <cell r="P27">
            <v>0</v>
          </cell>
          <cell r="Q27">
            <v>0</v>
          </cell>
          <cell r="R27">
            <v>0</v>
          </cell>
          <cell r="U27">
            <v>25</v>
          </cell>
          <cell r="V27">
            <v>26</v>
          </cell>
          <cell r="W27">
            <v>27</v>
          </cell>
          <cell r="X27">
            <v>28</v>
          </cell>
          <cell r="Y27">
            <v>29</v>
          </cell>
          <cell r="Z27">
            <v>30</v>
          </cell>
          <cell r="AA27">
            <v>31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36">
          <cell r="C36" t="str">
            <v>SUN</v>
          </cell>
          <cell r="D36" t="str">
            <v>MON</v>
          </cell>
          <cell r="E36" t="str">
            <v>TUE</v>
          </cell>
          <cell r="F36" t="str">
            <v>WED</v>
          </cell>
          <cell r="G36" t="str">
            <v>THU</v>
          </cell>
          <cell r="H36" t="str">
            <v>FRI</v>
          </cell>
          <cell r="I36" t="str">
            <v>SAT</v>
          </cell>
          <cell r="L36" t="str">
            <v>SUN</v>
          </cell>
          <cell r="M36" t="str">
            <v>MON</v>
          </cell>
          <cell r="N36" t="str">
            <v>TUE</v>
          </cell>
          <cell r="O36" t="str">
            <v>WED</v>
          </cell>
          <cell r="P36" t="str">
            <v>THU</v>
          </cell>
          <cell r="Q36" t="str">
            <v>FRI</v>
          </cell>
          <cell r="R36" t="str">
            <v>SAT</v>
          </cell>
          <cell r="U36" t="str">
            <v>SUN</v>
          </cell>
          <cell r="V36" t="str">
            <v>MON</v>
          </cell>
          <cell r="W36" t="str">
            <v>TUE</v>
          </cell>
          <cell r="X36" t="str">
            <v>WED</v>
          </cell>
          <cell r="Y36" t="str">
            <v>THU</v>
          </cell>
          <cell r="Z36" t="str">
            <v>FRI</v>
          </cell>
          <cell r="AA36" t="str">
            <v>SAT</v>
          </cell>
        </row>
        <row r="37">
          <cell r="C37">
            <v>1</v>
          </cell>
          <cell r="D37">
            <v>2</v>
          </cell>
          <cell r="E37">
            <v>3</v>
          </cell>
          <cell r="F37">
            <v>4</v>
          </cell>
          <cell r="G37">
            <v>5</v>
          </cell>
          <cell r="H37">
            <v>6</v>
          </cell>
          <cell r="I37">
            <v>7</v>
          </cell>
          <cell r="L37">
            <v>0</v>
          </cell>
          <cell r="M37">
            <v>0</v>
          </cell>
          <cell r="N37">
            <v>1</v>
          </cell>
          <cell r="O37">
            <v>2</v>
          </cell>
          <cell r="P37">
            <v>3</v>
          </cell>
          <cell r="Q37">
            <v>4</v>
          </cell>
          <cell r="R37">
            <v>5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1</v>
          </cell>
          <cell r="AA37">
            <v>2</v>
          </cell>
        </row>
        <row r="38">
          <cell r="C38">
            <v>8</v>
          </cell>
          <cell r="D38">
            <v>9</v>
          </cell>
          <cell r="E38">
            <v>10</v>
          </cell>
          <cell r="F38">
            <v>11</v>
          </cell>
          <cell r="G38">
            <v>12</v>
          </cell>
          <cell r="H38">
            <v>13</v>
          </cell>
          <cell r="I38">
            <v>14</v>
          </cell>
          <cell r="L38">
            <v>6</v>
          </cell>
          <cell r="M38">
            <v>7</v>
          </cell>
          <cell r="N38">
            <v>8</v>
          </cell>
          <cell r="O38">
            <v>9</v>
          </cell>
          <cell r="P38">
            <v>10</v>
          </cell>
          <cell r="Q38">
            <v>11</v>
          </cell>
          <cell r="R38">
            <v>12</v>
          </cell>
          <cell r="U38">
            <v>3</v>
          </cell>
          <cell r="V38">
            <v>4</v>
          </cell>
          <cell r="W38">
            <v>5</v>
          </cell>
          <cell r="X38">
            <v>6</v>
          </cell>
          <cell r="Y38">
            <v>7</v>
          </cell>
          <cell r="Z38">
            <v>8</v>
          </cell>
          <cell r="AA38">
            <v>9</v>
          </cell>
        </row>
        <row r="39">
          <cell r="C39">
            <v>15</v>
          </cell>
          <cell r="D39">
            <v>16</v>
          </cell>
          <cell r="E39">
            <v>17</v>
          </cell>
          <cell r="F39">
            <v>18</v>
          </cell>
          <cell r="G39">
            <v>19</v>
          </cell>
          <cell r="H39">
            <v>20</v>
          </cell>
          <cell r="I39">
            <v>21</v>
          </cell>
          <cell r="L39">
            <v>13</v>
          </cell>
          <cell r="M39">
            <v>14</v>
          </cell>
          <cell r="N39">
            <v>15</v>
          </cell>
          <cell r="O39">
            <v>16</v>
          </cell>
          <cell r="P39">
            <v>17</v>
          </cell>
          <cell r="Q39">
            <v>18</v>
          </cell>
          <cell r="R39">
            <v>19</v>
          </cell>
          <cell r="U39">
            <v>10</v>
          </cell>
          <cell r="V39">
            <v>11</v>
          </cell>
          <cell r="W39">
            <v>12</v>
          </cell>
          <cell r="X39">
            <v>13</v>
          </cell>
          <cell r="Y39">
            <v>14</v>
          </cell>
          <cell r="Z39">
            <v>15</v>
          </cell>
          <cell r="AA39">
            <v>16</v>
          </cell>
        </row>
        <row r="40">
          <cell r="C40">
            <v>22</v>
          </cell>
          <cell r="D40">
            <v>23</v>
          </cell>
          <cell r="E40">
            <v>24</v>
          </cell>
          <cell r="F40">
            <v>25</v>
          </cell>
          <cell r="G40">
            <v>26</v>
          </cell>
          <cell r="H40">
            <v>27</v>
          </cell>
          <cell r="I40">
            <v>28</v>
          </cell>
          <cell r="L40">
            <v>20</v>
          </cell>
          <cell r="M40">
            <v>21</v>
          </cell>
          <cell r="N40">
            <v>22</v>
          </cell>
          <cell r="O40">
            <v>23</v>
          </cell>
          <cell r="P40">
            <v>24</v>
          </cell>
          <cell r="Q40">
            <v>25</v>
          </cell>
          <cell r="R40">
            <v>26</v>
          </cell>
          <cell r="U40">
            <v>17</v>
          </cell>
          <cell r="V40">
            <v>18</v>
          </cell>
          <cell r="W40">
            <v>19</v>
          </cell>
          <cell r="X40">
            <v>20</v>
          </cell>
          <cell r="Y40">
            <v>21</v>
          </cell>
          <cell r="Z40">
            <v>22</v>
          </cell>
          <cell r="AA40">
            <v>23</v>
          </cell>
        </row>
        <row r="41">
          <cell r="C41">
            <v>29</v>
          </cell>
          <cell r="D41">
            <v>30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L41">
            <v>27</v>
          </cell>
          <cell r="M41">
            <v>28</v>
          </cell>
          <cell r="N41">
            <v>29</v>
          </cell>
          <cell r="O41">
            <v>30</v>
          </cell>
          <cell r="P41">
            <v>31</v>
          </cell>
          <cell r="Q41">
            <v>0</v>
          </cell>
          <cell r="R41">
            <v>0</v>
          </cell>
          <cell r="U41">
            <v>24</v>
          </cell>
          <cell r="V41">
            <v>25</v>
          </cell>
          <cell r="W41">
            <v>26</v>
          </cell>
          <cell r="X41">
            <v>27</v>
          </cell>
          <cell r="Y41">
            <v>28</v>
          </cell>
          <cell r="Z41">
            <v>29</v>
          </cell>
          <cell r="AA41">
            <v>30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</row>
        <row r="50">
          <cell r="C50" t="str">
            <v>SUN</v>
          </cell>
          <cell r="D50" t="str">
            <v>MON</v>
          </cell>
          <cell r="E50" t="str">
            <v>TUE</v>
          </cell>
          <cell r="F50" t="str">
            <v>WED</v>
          </cell>
          <cell r="G50" t="str">
            <v>THU</v>
          </cell>
          <cell r="H50" t="str">
            <v>FRI</v>
          </cell>
          <cell r="I50" t="str">
            <v>SAT</v>
          </cell>
          <cell r="L50" t="str">
            <v>SUN</v>
          </cell>
          <cell r="M50" t="str">
            <v>MON</v>
          </cell>
          <cell r="N50" t="str">
            <v>TUE</v>
          </cell>
          <cell r="O50" t="str">
            <v>WED</v>
          </cell>
          <cell r="P50" t="str">
            <v>THU</v>
          </cell>
          <cell r="Q50" t="str">
            <v>FRI</v>
          </cell>
          <cell r="R50" t="str">
            <v>SAT</v>
          </cell>
          <cell r="U50" t="str">
            <v>SUN</v>
          </cell>
          <cell r="V50" t="str">
            <v>MON</v>
          </cell>
          <cell r="W50" t="str">
            <v>TUE</v>
          </cell>
          <cell r="X50" t="str">
            <v>WED</v>
          </cell>
          <cell r="Y50" t="str">
            <v>THU</v>
          </cell>
          <cell r="Z50" t="str">
            <v>FRI</v>
          </cell>
          <cell r="AA50" t="str">
            <v>SAT</v>
          </cell>
        </row>
        <row r="51">
          <cell r="C51">
            <v>1</v>
          </cell>
          <cell r="D51">
            <v>2</v>
          </cell>
          <cell r="E51">
            <v>3</v>
          </cell>
          <cell r="F51">
            <v>4</v>
          </cell>
          <cell r="G51">
            <v>5</v>
          </cell>
          <cell r="H51">
            <v>6</v>
          </cell>
          <cell r="I51">
            <v>7</v>
          </cell>
          <cell r="L51">
            <v>0</v>
          </cell>
          <cell r="M51">
            <v>0</v>
          </cell>
          <cell r="N51">
            <v>0</v>
          </cell>
          <cell r="O51">
            <v>1</v>
          </cell>
          <cell r="P51">
            <v>2</v>
          </cell>
          <cell r="Q51">
            <v>3</v>
          </cell>
          <cell r="R51">
            <v>4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1</v>
          </cell>
        </row>
        <row r="52">
          <cell r="C52">
            <v>8</v>
          </cell>
          <cell r="D52">
            <v>9</v>
          </cell>
          <cell r="E52">
            <v>10</v>
          </cell>
          <cell r="F52">
            <v>11</v>
          </cell>
          <cell r="G52">
            <v>12</v>
          </cell>
          <cell r="H52">
            <v>13</v>
          </cell>
          <cell r="I52">
            <v>14</v>
          </cell>
          <cell r="L52">
            <v>5</v>
          </cell>
          <cell r="M52">
            <v>6</v>
          </cell>
          <cell r="N52">
            <v>7</v>
          </cell>
          <cell r="O52">
            <v>8</v>
          </cell>
          <cell r="P52">
            <v>9</v>
          </cell>
          <cell r="Q52">
            <v>10</v>
          </cell>
          <cell r="R52">
            <v>11</v>
          </cell>
          <cell r="U52">
            <v>2</v>
          </cell>
          <cell r="V52">
            <v>3</v>
          </cell>
          <cell r="W52">
            <v>4</v>
          </cell>
          <cell r="X52">
            <v>5</v>
          </cell>
          <cell r="Y52">
            <v>6</v>
          </cell>
          <cell r="Z52">
            <v>7</v>
          </cell>
          <cell r="AA52">
            <v>8</v>
          </cell>
        </row>
        <row r="53">
          <cell r="C53">
            <v>15</v>
          </cell>
          <cell r="D53">
            <v>16</v>
          </cell>
          <cell r="E53">
            <v>17</v>
          </cell>
          <cell r="F53">
            <v>18</v>
          </cell>
          <cell r="G53">
            <v>19</v>
          </cell>
          <cell r="H53">
            <v>20</v>
          </cell>
          <cell r="I53">
            <v>21</v>
          </cell>
          <cell r="L53">
            <v>12</v>
          </cell>
          <cell r="M53">
            <v>13</v>
          </cell>
          <cell r="N53">
            <v>14</v>
          </cell>
          <cell r="O53">
            <v>15</v>
          </cell>
          <cell r="P53">
            <v>16</v>
          </cell>
          <cell r="Q53">
            <v>17</v>
          </cell>
          <cell r="R53">
            <v>18</v>
          </cell>
          <cell r="U53">
            <v>9</v>
          </cell>
          <cell r="V53">
            <v>10</v>
          </cell>
          <cell r="W53">
            <v>11</v>
          </cell>
          <cell r="X53">
            <v>12</v>
          </cell>
          <cell r="Y53">
            <v>13</v>
          </cell>
          <cell r="Z53">
            <v>14</v>
          </cell>
          <cell r="AA53">
            <v>15</v>
          </cell>
        </row>
        <row r="54">
          <cell r="C54">
            <v>22</v>
          </cell>
          <cell r="D54">
            <v>23</v>
          </cell>
          <cell r="E54">
            <v>24</v>
          </cell>
          <cell r="F54">
            <v>25</v>
          </cell>
          <cell r="G54">
            <v>26</v>
          </cell>
          <cell r="H54">
            <v>27</v>
          </cell>
          <cell r="I54">
            <v>28</v>
          </cell>
          <cell r="L54">
            <v>19</v>
          </cell>
          <cell r="M54">
            <v>20</v>
          </cell>
          <cell r="N54">
            <v>21</v>
          </cell>
          <cell r="O54">
            <v>22</v>
          </cell>
          <cell r="P54">
            <v>23</v>
          </cell>
          <cell r="Q54">
            <v>24</v>
          </cell>
          <cell r="R54">
            <v>25</v>
          </cell>
          <cell r="U54">
            <v>16</v>
          </cell>
          <cell r="V54">
            <v>17</v>
          </cell>
          <cell r="W54">
            <v>18</v>
          </cell>
          <cell r="X54">
            <v>19</v>
          </cell>
          <cell r="Y54">
            <v>20</v>
          </cell>
          <cell r="Z54">
            <v>21</v>
          </cell>
          <cell r="AA54">
            <v>22</v>
          </cell>
        </row>
        <row r="55">
          <cell r="C55">
            <v>29</v>
          </cell>
          <cell r="D55">
            <v>30</v>
          </cell>
          <cell r="E55">
            <v>31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L55">
            <v>26</v>
          </cell>
          <cell r="M55">
            <v>27</v>
          </cell>
          <cell r="N55">
            <v>28</v>
          </cell>
          <cell r="O55">
            <v>29</v>
          </cell>
          <cell r="P55">
            <v>30</v>
          </cell>
          <cell r="Q55">
            <v>31</v>
          </cell>
          <cell r="R55">
            <v>0</v>
          </cell>
          <cell r="U55">
            <v>23</v>
          </cell>
          <cell r="V55">
            <v>24</v>
          </cell>
          <cell r="W55">
            <v>25</v>
          </cell>
          <cell r="X55">
            <v>26</v>
          </cell>
          <cell r="Y55">
            <v>27</v>
          </cell>
          <cell r="Z55">
            <v>28</v>
          </cell>
          <cell r="AA55">
            <v>29</v>
          </cell>
        </row>
        <row r="56"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U56">
            <v>30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64">
          <cell r="C64" t="str">
            <v>SUN</v>
          </cell>
          <cell r="D64" t="str">
            <v>MON</v>
          </cell>
          <cell r="E64" t="str">
            <v>TUE</v>
          </cell>
          <cell r="F64" t="str">
            <v>WED</v>
          </cell>
          <cell r="G64" t="str">
            <v>THU</v>
          </cell>
          <cell r="H64" t="str">
            <v>FRI</v>
          </cell>
          <cell r="I64" t="str">
            <v>SAT</v>
          </cell>
          <cell r="L64" t="str">
            <v>SUN</v>
          </cell>
          <cell r="M64" t="str">
            <v>MON</v>
          </cell>
          <cell r="N64" t="str">
            <v>TUE</v>
          </cell>
          <cell r="O64" t="str">
            <v>WED</v>
          </cell>
          <cell r="P64" t="str">
            <v>THU</v>
          </cell>
          <cell r="Q64" t="str">
            <v>FRI</v>
          </cell>
          <cell r="R64" t="str">
            <v>SAT</v>
          </cell>
          <cell r="U64" t="str">
            <v>SUN</v>
          </cell>
          <cell r="V64" t="str">
            <v>MON</v>
          </cell>
          <cell r="W64" t="str">
            <v>TUE</v>
          </cell>
          <cell r="X64" t="str">
            <v>WED</v>
          </cell>
          <cell r="Y64" t="str">
            <v>THU</v>
          </cell>
          <cell r="Z64" t="str">
            <v>FRI</v>
          </cell>
          <cell r="AA64" t="str">
            <v>SAT</v>
          </cell>
        </row>
        <row r="65">
          <cell r="C65">
            <v>0</v>
          </cell>
          <cell r="D65">
            <v>1</v>
          </cell>
          <cell r="E65">
            <v>2</v>
          </cell>
          <cell r="F65">
            <v>3</v>
          </cell>
          <cell r="G65">
            <v>4</v>
          </cell>
          <cell r="H65">
            <v>5</v>
          </cell>
          <cell r="I65">
            <v>6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1</v>
          </cell>
          <cell r="Q65">
            <v>2</v>
          </cell>
          <cell r="R65">
            <v>3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1</v>
          </cell>
        </row>
        <row r="66">
          <cell r="C66">
            <v>7</v>
          </cell>
          <cell r="D66">
            <v>8</v>
          </cell>
          <cell r="E66">
            <v>9</v>
          </cell>
          <cell r="F66">
            <v>10</v>
          </cell>
          <cell r="G66">
            <v>11</v>
          </cell>
          <cell r="H66">
            <v>12</v>
          </cell>
          <cell r="I66">
            <v>13</v>
          </cell>
          <cell r="L66">
            <v>4</v>
          </cell>
          <cell r="M66">
            <v>5</v>
          </cell>
          <cell r="N66">
            <v>6</v>
          </cell>
          <cell r="O66">
            <v>7</v>
          </cell>
          <cell r="P66">
            <v>8</v>
          </cell>
          <cell r="Q66">
            <v>9</v>
          </cell>
          <cell r="R66">
            <v>10</v>
          </cell>
          <cell r="U66">
            <v>2</v>
          </cell>
          <cell r="V66">
            <v>3</v>
          </cell>
          <cell r="W66">
            <v>4</v>
          </cell>
          <cell r="X66">
            <v>5</v>
          </cell>
          <cell r="Y66">
            <v>6</v>
          </cell>
          <cell r="Z66">
            <v>7</v>
          </cell>
          <cell r="AA66">
            <v>8</v>
          </cell>
        </row>
        <row r="67">
          <cell r="C67">
            <v>14</v>
          </cell>
          <cell r="D67">
            <v>15</v>
          </cell>
          <cell r="E67">
            <v>16</v>
          </cell>
          <cell r="F67">
            <v>17</v>
          </cell>
          <cell r="G67">
            <v>18</v>
          </cell>
          <cell r="H67">
            <v>19</v>
          </cell>
          <cell r="I67">
            <v>20</v>
          </cell>
          <cell r="L67">
            <v>11</v>
          </cell>
          <cell r="M67">
            <v>12</v>
          </cell>
          <cell r="N67">
            <v>13</v>
          </cell>
          <cell r="O67">
            <v>14</v>
          </cell>
          <cell r="P67">
            <v>15</v>
          </cell>
          <cell r="Q67">
            <v>16</v>
          </cell>
          <cell r="R67">
            <v>17</v>
          </cell>
          <cell r="U67">
            <v>9</v>
          </cell>
          <cell r="V67">
            <v>10</v>
          </cell>
          <cell r="W67">
            <v>11</v>
          </cell>
          <cell r="X67">
            <v>12</v>
          </cell>
          <cell r="Y67">
            <v>13</v>
          </cell>
          <cell r="Z67">
            <v>14</v>
          </cell>
          <cell r="AA67">
            <v>15</v>
          </cell>
        </row>
        <row r="68">
          <cell r="C68">
            <v>21</v>
          </cell>
          <cell r="D68">
            <v>22</v>
          </cell>
          <cell r="E68">
            <v>23</v>
          </cell>
          <cell r="F68">
            <v>24</v>
          </cell>
          <cell r="G68">
            <v>25</v>
          </cell>
          <cell r="H68">
            <v>26</v>
          </cell>
          <cell r="I68">
            <v>27</v>
          </cell>
          <cell r="L68">
            <v>18</v>
          </cell>
          <cell r="M68">
            <v>19</v>
          </cell>
          <cell r="N68">
            <v>20</v>
          </cell>
          <cell r="O68">
            <v>21</v>
          </cell>
          <cell r="P68">
            <v>22</v>
          </cell>
          <cell r="Q68">
            <v>23</v>
          </cell>
          <cell r="R68">
            <v>24</v>
          </cell>
          <cell r="U68">
            <v>16</v>
          </cell>
          <cell r="V68">
            <v>17</v>
          </cell>
          <cell r="W68">
            <v>18</v>
          </cell>
          <cell r="X68">
            <v>19</v>
          </cell>
          <cell r="Y68">
            <v>20</v>
          </cell>
          <cell r="Z68">
            <v>21</v>
          </cell>
          <cell r="AA68">
            <v>22</v>
          </cell>
        </row>
        <row r="69">
          <cell r="C69">
            <v>28</v>
          </cell>
          <cell r="D69">
            <v>29</v>
          </cell>
          <cell r="E69">
            <v>30</v>
          </cell>
          <cell r="F69">
            <v>31</v>
          </cell>
          <cell r="G69">
            <v>0</v>
          </cell>
          <cell r="H69">
            <v>0</v>
          </cell>
          <cell r="I69">
            <v>0</v>
          </cell>
          <cell r="L69">
            <v>25</v>
          </cell>
          <cell r="M69">
            <v>26</v>
          </cell>
          <cell r="N69">
            <v>27</v>
          </cell>
          <cell r="O69">
            <v>28</v>
          </cell>
          <cell r="P69">
            <v>29</v>
          </cell>
          <cell r="Q69">
            <v>30</v>
          </cell>
          <cell r="R69">
            <v>0</v>
          </cell>
          <cell r="U69">
            <v>23</v>
          </cell>
          <cell r="V69">
            <v>24</v>
          </cell>
          <cell r="W69">
            <v>25</v>
          </cell>
          <cell r="X69">
            <v>26</v>
          </cell>
          <cell r="Y69">
            <v>27</v>
          </cell>
          <cell r="Z69">
            <v>28</v>
          </cell>
          <cell r="AA69">
            <v>29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U70">
            <v>30</v>
          </cell>
          <cell r="V70">
            <v>31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6"/>
  <sheetViews>
    <sheetView showGridLines="0" tabSelected="1" view="pageBreakPreview" zoomScale="70" zoomScaleNormal="100" zoomScaleSheetLayoutView="70" workbookViewId="0">
      <pane xSplit="5" ySplit="7" topLeftCell="F50" activePane="bottomRight" state="frozen"/>
      <selection activeCell="D71" sqref="D71:W71"/>
      <selection pane="topRight" activeCell="D71" sqref="D71:W71"/>
      <selection pane="bottomLeft" activeCell="D71" sqref="D71:W71"/>
      <selection pane="bottomRight" activeCell="E71" sqref="E71"/>
    </sheetView>
  </sheetViews>
  <sheetFormatPr defaultColWidth="9.109375" defaultRowHeight="11.4"/>
  <cols>
    <col min="1" max="1" width="1.5546875" style="4" customWidth="1"/>
    <col min="2" max="2" width="7.88671875" style="26" customWidth="1"/>
    <col min="3" max="3" width="3.88671875" style="26" customWidth="1"/>
    <col min="4" max="4" width="44.6640625" style="27" customWidth="1"/>
    <col min="5" max="5" width="8.5546875" style="27" customWidth="1"/>
    <col min="6" max="9" width="9.6640625" style="26" customWidth="1"/>
    <col min="10" max="29" width="8.5546875" style="26" customWidth="1"/>
    <col min="30" max="30" width="11.44140625" style="4" customWidth="1"/>
    <col min="31" max="31" width="0.5546875" style="4" customWidth="1"/>
    <col min="32" max="16384" width="9.109375" style="4"/>
  </cols>
  <sheetData>
    <row r="1" spans="1:38" s="29" customFormat="1" ht="26.25" customHeight="1"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AD1" s="31"/>
      <c r="AE1" s="32"/>
    </row>
    <row r="2" spans="1:38" s="29" customFormat="1" ht="44.25" customHeight="1">
      <c r="A2" s="33"/>
      <c r="B2" s="95" t="s">
        <v>62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34"/>
      <c r="AF2" s="28"/>
      <c r="AG2" s="28"/>
      <c r="AH2" s="28"/>
      <c r="AI2" s="28"/>
      <c r="AJ2" s="28"/>
      <c r="AK2" s="28"/>
      <c r="AL2" s="28"/>
    </row>
    <row r="3" spans="1:38">
      <c r="A3" s="1"/>
      <c r="B3" s="2"/>
      <c r="C3" s="2"/>
      <c r="D3" s="3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1"/>
      <c r="AE3" s="1"/>
    </row>
    <row r="4" spans="1:38" ht="12" thickBot="1">
      <c r="A4" s="1"/>
      <c r="B4" s="2"/>
      <c r="C4" s="2"/>
      <c r="D4" s="3"/>
      <c r="E4" s="3"/>
      <c r="F4" s="2" t="s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1"/>
      <c r="AE4" s="1"/>
    </row>
    <row r="5" spans="1:38" s="6" customFormat="1" ht="24.9" customHeight="1" thickTop="1">
      <c r="A5" s="5"/>
      <c r="B5" s="70" t="s">
        <v>12</v>
      </c>
      <c r="C5" s="72" t="s">
        <v>1</v>
      </c>
      <c r="D5" s="73"/>
      <c r="E5" s="76" t="s">
        <v>13</v>
      </c>
      <c r="F5" s="79" t="s">
        <v>14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76" t="s">
        <v>2</v>
      </c>
      <c r="AE5" s="5"/>
    </row>
    <row r="6" spans="1:38" s="6" customFormat="1" ht="24.9" customHeight="1">
      <c r="A6" s="5"/>
      <c r="B6" s="71"/>
      <c r="C6" s="74"/>
      <c r="D6" s="75"/>
      <c r="E6" s="77"/>
      <c r="F6" s="59">
        <v>1</v>
      </c>
      <c r="G6" s="59">
        <f>F6+1</f>
        <v>2</v>
      </c>
      <c r="H6" s="59">
        <f t="shared" ref="H6:AC6" si="0">G6+1</f>
        <v>3</v>
      </c>
      <c r="I6" s="59">
        <f t="shared" si="0"/>
        <v>4</v>
      </c>
      <c r="J6" s="59">
        <f t="shared" si="0"/>
        <v>5</v>
      </c>
      <c r="K6" s="59">
        <f t="shared" si="0"/>
        <v>6</v>
      </c>
      <c r="L6" s="59">
        <f t="shared" si="0"/>
        <v>7</v>
      </c>
      <c r="M6" s="59">
        <f t="shared" si="0"/>
        <v>8</v>
      </c>
      <c r="N6" s="59">
        <f t="shared" si="0"/>
        <v>9</v>
      </c>
      <c r="O6" s="59">
        <f t="shared" si="0"/>
        <v>10</v>
      </c>
      <c r="P6" s="59">
        <f t="shared" si="0"/>
        <v>11</v>
      </c>
      <c r="Q6" s="59">
        <f t="shared" si="0"/>
        <v>12</v>
      </c>
      <c r="R6" s="59">
        <f t="shared" si="0"/>
        <v>13</v>
      </c>
      <c r="S6" s="59">
        <f t="shared" si="0"/>
        <v>14</v>
      </c>
      <c r="T6" s="59">
        <f t="shared" ref="T6" si="1">S6+1</f>
        <v>15</v>
      </c>
      <c r="U6" s="59">
        <f t="shared" ref="U6" si="2">T6+1</f>
        <v>16</v>
      </c>
      <c r="V6" s="59">
        <f t="shared" ref="V6" si="3">U6+1</f>
        <v>17</v>
      </c>
      <c r="W6" s="59">
        <f t="shared" si="0"/>
        <v>18</v>
      </c>
      <c r="X6" s="59">
        <f t="shared" si="0"/>
        <v>19</v>
      </c>
      <c r="Y6" s="59">
        <f t="shared" si="0"/>
        <v>20</v>
      </c>
      <c r="Z6" s="59">
        <f t="shared" si="0"/>
        <v>21</v>
      </c>
      <c r="AA6" s="59">
        <f t="shared" si="0"/>
        <v>22</v>
      </c>
      <c r="AB6" s="59">
        <f t="shared" si="0"/>
        <v>23</v>
      </c>
      <c r="AC6" s="59">
        <f t="shared" si="0"/>
        <v>24</v>
      </c>
      <c r="AD6" s="77"/>
      <c r="AE6" s="5"/>
    </row>
    <row r="7" spans="1:38" s="8" customFormat="1" ht="24.9" customHeight="1">
      <c r="A7" s="7"/>
      <c r="B7" s="71"/>
      <c r="C7" s="74"/>
      <c r="D7" s="75"/>
      <c r="E7" s="78"/>
      <c r="F7" s="60">
        <v>44197</v>
      </c>
      <c r="G7" s="60">
        <f>EOMONTH(F7,1)</f>
        <v>44255</v>
      </c>
      <c r="H7" s="60">
        <f t="shared" ref="H7:AC7" si="4">EOMONTH(G7,1)</f>
        <v>44286</v>
      </c>
      <c r="I7" s="60">
        <f t="shared" si="4"/>
        <v>44316</v>
      </c>
      <c r="J7" s="60">
        <f t="shared" si="4"/>
        <v>44347</v>
      </c>
      <c r="K7" s="60">
        <f t="shared" si="4"/>
        <v>44377</v>
      </c>
      <c r="L7" s="60">
        <f t="shared" si="4"/>
        <v>44408</v>
      </c>
      <c r="M7" s="60">
        <f t="shared" si="4"/>
        <v>44439</v>
      </c>
      <c r="N7" s="60">
        <f t="shared" si="4"/>
        <v>44469</v>
      </c>
      <c r="O7" s="60">
        <f t="shared" si="4"/>
        <v>44500</v>
      </c>
      <c r="P7" s="60">
        <f t="shared" si="4"/>
        <v>44530</v>
      </c>
      <c r="Q7" s="60">
        <f t="shared" si="4"/>
        <v>44561</v>
      </c>
      <c r="R7" s="60">
        <f t="shared" si="4"/>
        <v>44592</v>
      </c>
      <c r="S7" s="60">
        <f t="shared" si="4"/>
        <v>44620</v>
      </c>
      <c r="T7" s="60">
        <f t="shared" ref="T7" si="5">EOMONTH(S7,1)</f>
        <v>44651</v>
      </c>
      <c r="U7" s="60">
        <f t="shared" ref="U7" si="6">EOMONTH(T7,1)</f>
        <v>44681</v>
      </c>
      <c r="V7" s="60">
        <f t="shared" ref="V7" si="7">EOMONTH(U7,1)</f>
        <v>44712</v>
      </c>
      <c r="W7" s="60">
        <f t="shared" si="4"/>
        <v>44742</v>
      </c>
      <c r="X7" s="60">
        <f t="shared" si="4"/>
        <v>44773</v>
      </c>
      <c r="Y7" s="60">
        <f t="shared" si="4"/>
        <v>44804</v>
      </c>
      <c r="Z7" s="60">
        <f t="shared" si="4"/>
        <v>44834</v>
      </c>
      <c r="AA7" s="60">
        <f t="shared" si="4"/>
        <v>44865</v>
      </c>
      <c r="AB7" s="60">
        <f t="shared" si="4"/>
        <v>44895</v>
      </c>
      <c r="AC7" s="60">
        <f t="shared" si="4"/>
        <v>44926</v>
      </c>
      <c r="AD7" s="77"/>
      <c r="AE7" s="7"/>
    </row>
    <row r="8" spans="1:38" s="10" customFormat="1" ht="24.9" customHeight="1">
      <c r="A8" s="9"/>
      <c r="B8" s="81" t="s">
        <v>53</v>
      </c>
      <c r="C8" s="82" t="s">
        <v>31</v>
      </c>
      <c r="D8" s="83"/>
      <c r="E8" s="84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6"/>
      <c r="AE8" s="9"/>
    </row>
    <row r="9" spans="1:38" s="10" customFormat="1" ht="24.9" customHeight="1">
      <c r="A9" s="9"/>
      <c r="B9" s="37" t="s">
        <v>32</v>
      </c>
      <c r="C9" s="68" t="s">
        <v>30</v>
      </c>
      <c r="D9" s="69"/>
      <c r="E9" s="1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23"/>
      <c r="AE9" s="9"/>
    </row>
    <row r="10" spans="1:38" s="16" customFormat="1" ht="24.9" customHeight="1">
      <c r="A10" s="11"/>
      <c r="B10" s="22"/>
      <c r="C10" s="12"/>
      <c r="D10" s="13" t="s">
        <v>4</v>
      </c>
      <c r="E10" s="14">
        <f t="shared" ref="E10:E66" si="8">MAX(F10:AC10)</f>
        <v>0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23">
        <f>SUM(F10:AC10)</f>
        <v>0</v>
      </c>
      <c r="AE10" s="11"/>
    </row>
    <row r="11" spans="1:38" s="16" customFormat="1" ht="24.9" customHeight="1">
      <c r="A11" s="11"/>
      <c r="B11" s="22"/>
      <c r="C11" s="12"/>
      <c r="D11" s="13" t="s">
        <v>50</v>
      </c>
      <c r="E11" s="14">
        <f t="shared" si="8"/>
        <v>0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23">
        <f t="shared" ref="AD11:AD66" si="9">SUM(F11:AC11)</f>
        <v>0</v>
      </c>
      <c r="AE11" s="11"/>
    </row>
    <row r="12" spans="1:38" s="16" customFormat="1" ht="24.9" customHeight="1">
      <c r="A12" s="11"/>
      <c r="B12" s="22"/>
      <c r="C12" s="12"/>
      <c r="D12" s="13" t="s">
        <v>10</v>
      </c>
      <c r="E12" s="14">
        <f t="shared" si="8"/>
        <v>0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23">
        <f t="shared" si="9"/>
        <v>0</v>
      </c>
      <c r="AE12" s="11"/>
    </row>
    <row r="13" spans="1:38" s="16" customFormat="1" ht="24.9" customHeight="1">
      <c r="A13" s="11"/>
      <c r="B13" s="22"/>
      <c r="C13" s="12"/>
      <c r="D13" s="13" t="s">
        <v>25</v>
      </c>
      <c r="E13" s="14">
        <f t="shared" si="8"/>
        <v>0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23">
        <f t="shared" si="9"/>
        <v>0</v>
      </c>
      <c r="AE13" s="11"/>
    </row>
    <row r="14" spans="1:38" s="16" customFormat="1" ht="24.9" customHeight="1">
      <c r="A14" s="11"/>
      <c r="B14" s="22"/>
      <c r="C14" s="12"/>
      <c r="D14" s="13" t="s">
        <v>51</v>
      </c>
      <c r="E14" s="14">
        <f t="shared" si="8"/>
        <v>0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23">
        <f t="shared" si="9"/>
        <v>0</v>
      </c>
      <c r="AE14" s="11"/>
    </row>
    <row r="15" spans="1:38" s="16" customFormat="1" ht="24.9" customHeight="1">
      <c r="A15" s="11"/>
      <c r="B15" s="22"/>
      <c r="C15" s="12"/>
      <c r="D15" s="13" t="s">
        <v>52</v>
      </c>
      <c r="E15" s="14">
        <f t="shared" si="8"/>
        <v>0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23">
        <f t="shared" si="9"/>
        <v>0</v>
      </c>
      <c r="AE15" s="11"/>
    </row>
    <row r="16" spans="1:38" s="16" customFormat="1" ht="24.9" customHeight="1">
      <c r="A16" s="11"/>
      <c r="B16" s="22"/>
      <c r="C16" s="12"/>
      <c r="D16" s="13" t="s">
        <v>40</v>
      </c>
      <c r="E16" s="14">
        <f t="shared" si="8"/>
        <v>0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23">
        <f t="shared" si="9"/>
        <v>0</v>
      </c>
      <c r="AE16" s="11"/>
    </row>
    <row r="17" spans="1:31" s="16" customFormat="1" ht="24.9" customHeight="1">
      <c r="A17" s="11"/>
      <c r="B17" s="22"/>
      <c r="C17" s="12"/>
      <c r="D17" s="13" t="s">
        <v>26</v>
      </c>
      <c r="E17" s="14">
        <f t="shared" si="8"/>
        <v>0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23">
        <f t="shared" si="9"/>
        <v>0</v>
      </c>
      <c r="AE17" s="11"/>
    </row>
    <row r="18" spans="1:31" s="16" customFormat="1" ht="24.9" customHeight="1">
      <c r="A18" s="11"/>
      <c r="B18" s="22"/>
      <c r="C18" s="12"/>
      <c r="D18" s="13" t="s">
        <v>6</v>
      </c>
      <c r="E18" s="14">
        <f t="shared" si="8"/>
        <v>0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23">
        <f t="shared" si="9"/>
        <v>0</v>
      </c>
      <c r="AE18" s="11"/>
    </row>
    <row r="19" spans="1:31" s="8" customFormat="1" ht="24.9" customHeight="1">
      <c r="A19" s="7"/>
      <c r="B19" s="61"/>
      <c r="C19" s="62"/>
      <c r="D19" s="63" t="s">
        <v>59</v>
      </c>
      <c r="E19" s="64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6">
        <f t="shared" si="9"/>
        <v>0</v>
      </c>
      <c r="AE19" s="7"/>
    </row>
    <row r="20" spans="1:31" s="16" customFormat="1" ht="24.9" customHeight="1">
      <c r="A20" s="11"/>
      <c r="B20" s="37" t="s">
        <v>33</v>
      </c>
      <c r="C20" s="56" t="s">
        <v>41</v>
      </c>
      <c r="D20" s="57"/>
      <c r="E20" s="21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9"/>
      <c r="AE20" s="11"/>
    </row>
    <row r="21" spans="1:31" s="16" customFormat="1" ht="24.9" customHeight="1">
      <c r="A21" s="11"/>
      <c r="B21" s="22"/>
      <c r="C21" s="12"/>
      <c r="D21" s="13" t="s">
        <v>7</v>
      </c>
      <c r="E21" s="14">
        <f t="shared" si="8"/>
        <v>0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23">
        <f t="shared" si="9"/>
        <v>0</v>
      </c>
      <c r="AE21" s="11"/>
    </row>
    <row r="22" spans="1:31" s="16" customFormat="1" ht="24.9" customHeight="1">
      <c r="A22" s="11"/>
      <c r="B22" s="22"/>
      <c r="C22" s="12"/>
      <c r="D22" s="13" t="s">
        <v>4</v>
      </c>
      <c r="E22" s="14">
        <f t="shared" si="8"/>
        <v>0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23">
        <f t="shared" si="9"/>
        <v>0</v>
      </c>
      <c r="AE22" s="11"/>
    </row>
    <row r="23" spans="1:31" s="16" customFormat="1" ht="24.9" customHeight="1">
      <c r="A23" s="11"/>
      <c r="B23" s="22"/>
      <c r="C23" s="12"/>
      <c r="D23" s="13" t="s">
        <v>15</v>
      </c>
      <c r="E23" s="14">
        <f t="shared" si="8"/>
        <v>0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23">
        <f t="shared" si="9"/>
        <v>0</v>
      </c>
      <c r="AE23" s="11"/>
    </row>
    <row r="24" spans="1:31" s="16" customFormat="1" ht="24.9" customHeight="1">
      <c r="A24" s="11"/>
      <c r="B24" s="22"/>
      <c r="C24" s="12"/>
      <c r="D24" s="13" t="s">
        <v>16</v>
      </c>
      <c r="E24" s="14">
        <f t="shared" si="8"/>
        <v>0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23">
        <f t="shared" si="9"/>
        <v>0</v>
      </c>
      <c r="AE24" s="11"/>
    </row>
    <row r="25" spans="1:31" s="16" customFormat="1" ht="24.9" customHeight="1">
      <c r="A25" s="11"/>
      <c r="B25" s="22"/>
      <c r="C25" s="12"/>
      <c r="D25" s="13" t="s">
        <v>17</v>
      </c>
      <c r="E25" s="14">
        <f t="shared" si="8"/>
        <v>0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23">
        <f t="shared" si="9"/>
        <v>0</v>
      </c>
      <c r="AE25" s="11"/>
    </row>
    <row r="26" spans="1:31" s="16" customFormat="1" ht="24.9" customHeight="1">
      <c r="A26" s="11"/>
      <c r="B26" s="22"/>
      <c r="C26" s="12"/>
      <c r="D26" s="13" t="s">
        <v>19</v>
      </c>
      <c r="E26" s="14">
        <f t="shared" si="8"/>
        <v>0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23">
        <f t="shared" si="9"/>
        <v>0</v>
      </c>
      <c r="AE26" s="11"/>
    </row>
    <row r="27" spans="1:31" s="16" customFormat="1" ht="24.9" customHeight="1">
      <c r="A27" s="11"/>
      <c r="B27" s="22"/>
      <c r="C27" s="12"/>
      <c r="D27" s="13" t="s">
        <v>18</v>
      </c>
      <c r="E27" s="14">
        <f t="shared" si="8"/>
        <v>0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23">
        <f t="shared" si="9"/>
        <v>0</v>
      </c>
      <c r="AE27" s="11"/>
    </row>
    <row r="28" spans="1:31" s="16" customFormat="1" ht="24.9" customHeight="1">
      <c r="A28" s="11"/>
      <c r="B28" s="22"/>
      <c r="C28" s="12"/>
      <c r="D28" s="13" t="s">
        <v>20</v>
      </c>
      <c r="E28" s="14">
        <f t="shared" si="8"/>
        <v>0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23">
        <f t="shared" si="9"/>
        <v>0</v>
      </c>
      <c r="AE28" s="11"/>
    </row>
    <row r="29" spans="1:31" s="16" customFormat="1" ht="24.9" customHeight="1">
      <c r="A29" s="11"/>
      <c r="B29" s="22"/>
      <c r="C29" s="12"/>
      <c r="D29" s="13" t="s">
        <v>21</v>
      </c>
      <c r="E29" s="14">
        <f t="shared" si="8"/>
        <v>0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23">
        <f t="shared" si="9"/>
        <v>0</v>
      </c>
      <c r="AE29" s="11"/>
    </row>
    <row r="30" spans="1:31" s="16" customFormat="1" ht="24.9" customHeight="1">
      <c r="A30" s="11"/>
      <c r="B30" s="22"/>
      <c r="C30" s="12"/>
      <c r="D30" s="13" t="s">
        <v>22</v>
      </c>
      <c r="E30" s="14">
        <f t="shared" si="8"/>
        <v>0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23">
        <f t="shared" si="9"/>
        <v>0</v>
      </c>
      <c r="AE30" s="11"/>
    </row>
    <row r="31" spans="1:31" s="16" customFormat="1" ht="24.9" customHeight="1">
      <c r="A31" s="11"/>
      <c r="B31" s="22"/>
      <c r="C31" s="12"/>
      <c r="D31" s="13" t="s">
        <v>8</v>
      </c>
      <c r="E31" s="14">
        <f t="shared" si="8"/>
        <v>0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23">
        <f t="shared" si="9"/>
        <v>0</v>
      </c>
      <c r="AE31" s="11"/>
    </row>
    <row r="32" spans="1:31" s="16" customFormat="1" ht="24.9" customHeight="1">
      <c r="A32" s="11"/>
      <c r="B32" s="22"/>
      <c r="C32" s="5"/>
      <c r="D32" s="11" t="s">
        <v>23</v>
      </c>
      <c r="E32" s="17">
        <f t="shared" si="8"/>
        <v>0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9">
        <f t="shared" si="9"/>
        <v>0</v>
      </c>
      <c r="AE32" s="11"/>
    </row>
    <row r="33" spans="1:31" s="16" customFormat="1" ht="24.9" customHeight="1">
      <c r="A33" s="11"/>
      <c r="B33" s="22"/>
      <c r="C33" s="12"/>
      <c r="D33" s="13" t="s">
        <v>24</v>
      </c>
      <c r="E33" s="14">
        <f t="shared" si="8"/>
        <v>0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23">
        <f t="shared" si="9"/>
        <v>0</v>
      </c>
      <c r="AE33" s="11"/>
    </row>
    <row r="34" spans="1:31" s="16" customFormat="1" ht="24.9" customHeight="1">
      <c r="A34" s="11"/>
      <c r="B34" s="22"/>
      <c r="C34" s="5"/>
      <c r="D34" s="11" t="s">
        <v>9</v>
      </c>
      <c r="E34" s="17">
        <f t="shared" si="8"/>
        <v>0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9">
        <f t="shared" si="9"/>
        <v>0</v>
      </c>
      <c r="AE34" s="11"/>
    </row>
    <row r="35" spans="1:31" s="16" customFormat="1" ht="24.9" customHeight="1">
      <c r="A35" s="11"/>
      <c r="B35" s="22"/>
      <c r="C35" s="12"/>
      <c r="D35" s="13" t="s">
        <v>6</v>
      </c>
      <c r="E35" s="14">
        <f t="shared" si="8"/>
        <v>0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23">
        <f t="shared" si="9"/>
        <v>0</v>
      </c>
      <c r="AE35" s="11"/>
    </row>
    <row r="36" spans="1:31" s="16" customFormat="1" ht="24.9" customHeight="1">
      <c r="A36" s="11"/>
      <c r="B36" s="37"/>
      <c r="C36" s="41" t="s">
        <v>42</v>
      </c>
      <c r="D36" s="40"/>
      <c r="E36" s="42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23"/>
      <c r="AE36" s="11"/>
    </row>
    <row r="37" spans="1:31" s="16" customFormat="1" ht="24.9" customHeight="1">
      <c r="A37" s="11"/>
      <c r="B37" s="22"/>
      <c r="C37" s="43"/>
      <c r="D37" s="44" t="s">
        <v>63</v>
      </c>
      <c r="E37" s="45">
        <f t="shared" si="8"/>
        <v>0</v>
      </c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7">
        <f t="shared" si="9"/>
        <v>0</v>
      </c>
      <c r="AE37" s="11"/>
    </row>
    <row r="38" spans="1:31" s="8" customFormat="1" ht="24.9" customHeight="1">
      <c r="A38" s="7"/>
      <c r="B38" s="61"/>
      <c r="C38" s="62"/>
      <c r="D38" s="63" t="s">
        <v>60</v>
      </c>
      <c r="E38" s="64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6">
        <f t="shared" si="9"/>
        <v>0</v>
      </c>
      <c r="AE38" s="7"/>
    </row>
    <row r="39" spans="1:31" s="10" customFormat="1" ht="24.9" customHeight="1">
      <c r="A39" s="9"/>
      <c r="B39" s="81" t="s">
        <v>54</v>
      </c>
      <c r="C39" s="87" t="s">
        <v>34</v>
      </c>
      <c r="D39" s="88"/>
      <c r="E39" s="84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6"/>
      <c r="AE39" s="9"/>
    </row>
    <row r="40" spans="1:31" s="39" customFormat="1" ht="24.9" customHeight="1">
      <c r="A40" s="38"/>
      <c r="B40" s="37" t="s">
        <v>37</v>
      </c>
      <c r="C40" s="68" t="s">
        <v>35</v>
      </c>
      <c r="D40" s="69"/>
      <c r="E40" s="1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23"/>
      <c r="AE40" s="38"/>
    </row>
    <row r="41" spans="1:31" s="39" customFormat="1" ht="24.9" customHeight="1">
      <c r="A41" s="38"/>
      <c r="B41" s="37"/>
      <c r="C41" s="41" t="s">
        <v>55</v>
      </c>
      <c r="D41" s="40"/>
      <c r="E41" s="1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23"/>
      <c r="AE41" s="38"/>
    </row>
    <row r="42" spans="1:31" s="8" customFormat="1" ht="24.9" customHeight="1">
      <c r="A42" s="7"/>
      <c r="B42" s="36"/>
      <c r="C42" s="12"/>
      <c r="D42" s="48" t="s">
        <v>43</v>
      </c>
      <c r="E42" s="14">
        <f t="shared" si="8"/>
        <v>0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23">
        <f t="shared" si="9"/>
        <v>0</v>
      </c>
      <c r="AE42" s="35"/>
    </row>
    <row r="43" spans="1:31" s="16" customFormat="1" ht="24.9" customHeight="1">
      <c r="A43" s="11"/>
      <c r="B43" s="22"/>
      <c r="C43" s="12"/>
      <c r="D43" s="13" t="s">
        <v>44</v>
      </c>
      <c r="E43" s="14">
        <f t="shared" si="8"/>
        <v>0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23">
        <f t="shared" si="9"/>
        <v>0</v>
      </c>
      <c r="AE43" s="11"/>
    </row>
    <row r="44" spans="1:31" s="16" customFormat="1" ht="24.9" customHeight="1">
      <c r="A44" s="11"/>
      <c r="B44" s="22"/>
      <c r="C44" s="12"/>
      <c r="D44" s="13" t="s">
        <v>45</v>
      </c>
      <c r="E44" s="14">
        <f t="shared" si="8"/>
        <v>0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23">
        <f t="shared" si="9"/>
        <v>0</v>
      </c>
      <c r="AE44" s="11"/>
    </row>
    <row r="45" spans="1:31" s="16" customFormat="1" ht="24.9" customHeight="1">
      <c r="A45" s="11"/>
      <c r="B45" s="22"/>
      <c r="C45" s="12"/>
      <c r="D45" s="13" t="s">
        <v>8</v>
      </c>
      <c r="E45" s="14">
        <f t="shared" si="8"/>
        <v>0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23">
        <f t="shared" si="9"/>
        <v>0</v>
      </c>
      <c r="AE45" s="11"/>
    </row>
    <row r="46" spans="1:31" s="16" customFormat="1" ht="24.9" customHeight="1">
      <c r="A46" s="11"/>
      <c r="B46" s="22"/>
      <c r="C46" s="12"/>
      <c r="D46" s="13" t="s">
        <v>46</v>
      </c>
      <c r="E46" s="14">
        <f t="shared" si="8"/>
        <v>0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23">
        <f t="shared" si="9"/>
        <v>0</v>
      </c>
      <c r="AE46" s="11"/>
    </row>
    <row r="47" spans="1:31" s="16" customFormat="1" ht="24.9" customHeight="1">
      <c r="A47" s="11"/>
      <c r="B47" s="22"/>
      <c r="C47" s="12"/>
      <c r="D47" s="13" t="s">
        <v>47</v>
      </c>
      <c r="E47" s="14">
        <f t="shared" si="8"/>
        <v>0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23">
        <f t="shared" si="9"/>
        <v>0</v>
      </c>
      <c r="AE47" s="11"/>
    </row>
    <row r="48" spans="1:31" s="16" customFormat="1" ht="24.9" customHeight="1">
      <c r="A48" s="11"/>
      <c r="B48" s="22"/>
      <c r="C48" s="12"/>
      <c r="D48" s="13" t="s">
        <v>48</v>
      </c>
      <c r="E48" s="14">
        <f t="shared" si="8"/>
        <v>0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23">
        <f t="shared" si="9"/>
        <v>0</v>
      </c>
      <c r="AE48" s="11"/>
    </row>
    <row r="49" spans="1:31" s="16" customFormat="1" ht="24.9" customHeight="1">
      <c r="A49" s="11"/>
      <c r="B49" s="22"/>
      <c r="C49" s="12"/>
      <c r="D49" s="13" t="s">
        <v>49</v>
      </c>
      <c r="E49" s="14">
        <f t="shared" si="8"/>
        <v>0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23">
        <f t="shared" si="9"/>
        <v>0</v>
      </c>
      <c r="AE49" s="11"/>
    </row>
    <row r="50" spans="1:31" s="39" customFormat="1" ht="24.9" customHeight="1">
      <c r="A50" s="38"/>
      <c r="B50" s="37"/>
      <c r="C50" s="41" t="s">
        <v>56</v>
      </c>
      <c r="D50" s="40"/>
      <c r="E50" s="14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23"/>
      <c r="AE50" s="38"/>
    </row>
    <row r="51" spans="1:31" s="8" customFormat="1" ht="24.9" customHeight="1">
      <c r="A51" s="7"/>
      <c r="B51" s="36"/>
      <c r="C51" s="12" t="s">
        <v>3</v>
      </c>
      <c r="D51" s="13" t="s">
        <v>49</v>
      </c>
      <c r="E51" s="14">
        <f t="shared" si="8"/>
        <v>0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23">
        <f t="shared" si="9"/>
        <v>0</v>
      </c>
      <c r="AE51" s="35"/>
    </row>
    <row r="52" spans="1:31" s="16" customFormat="1" ht="24.9" customHeight="1">
      <c r="A52" s="11"/>
      <c r="B52" s="22"/>
      <c r="C52" s="12" t="s">
        <v>5</v>
      </c>
      <c r="D52" s="13" t="s">
        <v>49</v>
      </c>
      <c r="E52" s="14">
        <f t="shared" si="8"/>
        <v>0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23">
        <f t="shared" si="9"/>
        <v>0</v>
      </c>
      <c r="AE52" s="11"/>
    </row>
    <row r="53" spans="1:31" s="8" customFormat="1" ht="24.9" customHeight="1">
      <c r="A53" s="7"/>
      <c r="B53" s="37" t="s">
        <v>38</v>
      </c>
      <c r="C53" s="49" t="s">
        <v>36</v>
      </c>
      <c r="D53" s="50"/>
      <c r="E53" s="51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3"/>
      <c r="AE53" s="35"/>
    </row>
    <row r="54" spans="1:31" s="8" customFormat="1" ht="24.9" customHeight="1">
      <c r="A54" s="7"/>
      <c r="B54" s="37"/>
      <c r="C54" s="49" t="s">
        <v>57</v>
      </c>
      <c r="D54" s="54"/>
      <c r="E54" s="51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3"/>
      <c r="AE54" s="35"/>
    </row>
    <row r="55" spans="1:31" s="16" customFormat="1" ht="24.9" customHeight="1">
      <c r="A55" s="11"/>
      <c r="B55" s="22"/>
      <c r="C55" s="12"/>
      <c r="D55" s="13"/>
      <c r="E55" s="14">
        <f t="shared" si="8"/>
        <v>0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23">
        <f t="shared" si="9"/>
        <v>0</v>
      </c>
      <c r="AE55" s="11"/>
    </row>
    <row r="56" spans="1:31" s="16" customFormat="1" ht="24.9" customHeight="1">
      <c r="A56" s="11"/>
      <c r="B56" s="22"/>
      <c r="C56" s="12"/>
      <c r="D56" s="13"/>
      <c r="E56" s="14">
        <f t="shared" si="8"/>
        <v>0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23">
        <f t="shared" si="9"/>
        <v>0</v>
      </c>
      <c r="AE56" s="11"/>
    </row>
    <row r="57" spans="1:31" s="16" customFormat="1" ht="24.9" customHeight="1">
      <c r="A57" s="11"/>
      <c r="B57" s="22"/>
      <c r="C57" s="12"/>
      <c r="D57" s="13"/>
      <c r="E57" s="14">
        <f t="shared" si="8"/>
        <v>0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23">
        <f t="shared" si="9"/>
        <v>0</v>
      </c>
      <c r="AE57" s="11"/>
    </row>
    <row r="58" spans="1:31" s="16" customFormat="1" ht="24.9" customHeight="1">
      <c r="A58" s="11"/>
      <c r="B58" s="22"/>
      <c r="C58" s="12"/>
      <c r="D58" s="13"/>
      <c r="E58" s="14">
        <f t="shared" si="8"/>
        <v>0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23">
        <f t="shared" si="9"/>
        <v>0</v>
      </c>
      <c r="AE58" s="11"/>
    </row>
    <row r="59" spans="1:31" s="8" customFormat="1" ht="24.9" customHeight="1">
      <c r="A59" s="7"/>
      <c r="B59" s="37"/>
      <c r="C59" s="55" t="s">
        <v>58</v>
      </c>
      <c r="D59" s="48"/>
      <c r="E59" s="51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8"/>
      <c r="AE59" s="35"/>
    </row>
    <row r="60" spans="1:31" s="16" customFormat="1" ht="24.9" customHeight="1">
      <c r="A60" s="11"/>
      <c r="B60" s="22"/>
      <c r="C60" s="12"/>
      <c r="D60" s="13"/>
      <c r="E60" s="14">
        <f t="shared" si="8"/>
        <v>0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23">
        <f t="shared" si="9"/>
        <v>0</v>
      </c>
      <c r="AE60" s="11"/>
    </row>
    <row r="61" spans="1:31" s="16" customFormat="1" ht="24.9" customHeight="1">
      <c r="A61" s="11"/>
      <c r="B61" s="22"/>
      <c r="C61" s="12"/>
      <c r="D61" s="13"/>
      <c r="E61" s="14">
        <f t="shared" si="8"/>
        <v>0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23">
        <f t="shared" si="9"/>
        <v>0</v>
      </c>
      <c r="AE61" s="11"/>
    </row>
    <row r="62" spans="1:31" s="8" customFormat="1" ht="24.9" customHeight="1">
      <c r="A62" s="7"/>
      <c r="B62" s="37" t="s">
        <v>39</v>
      </c>
      <c r="C62" s="55" t="s">
        <v>27</v>
      </c>
      <c r="D62" s="48"/>
      <c r="E62" s="51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8"/>
      <c r="AE62" s="35"/>
    </row>
    <row r="63" spans="1:31" s="16" customFormat="1" ht="24.9" customHeight="1">
      <c r="A63" s="11"/>
      <c r="B63" s="22"/>
      <c r="C63" s="12"/>
      <c r="D63" s="13" t="s">
        <v>28</v>
      </c>
      <c r="E63" s="14">
        <f t="shared" si="8"/>
        <v>0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23">
        <f t="shared" si="9"/>
        <v>0</v>
      </c>
      <c r="AE63" s="11"/>
    </row>
    <row r="64" spans="1:31" s="16" customFormat="1" ht="24.9" customHeight="1">
      <c r="A64" s="11"/>
      <c r="B64" s="22"/>
      <c r="C64" s="43"/>
      <c r="D64" s="44" t="s">
        <v>29</v>
      </c>
      <c r="E64" s="45">
        <f t="shared" si="8"/>
        <v>0</v>
      </c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7">
        <f t="shared" si="9"/>
        <v>0</v>
      </c>
      <c r="AE64" s="11"/>
    </row>
    <row r="65" spans="1:31" s="8" customFormat="1" ht="24.9" customHeight="1">
      <c r="A65" s="7"/>
      <c r="B65" s="61"/>
      <c r="C65" s="62"/>
      <c r="D65" s="63" t="s">
        <v>61</v>
      </c>
      <c r="E65" s="64">
        <f t="shared" si="8"/>
        <v>0</v>
      </c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6">
        <f t="shared" si="9"/>
        <v>0</v>
      </c>
      <c r="AE65" s="7"/>
    </row>
    <row r="66" spans="1:31" s="8" customFormat="1" ht="33" customHeight="1" thickBot="1">
      <c r="A66" s="7"/>
      <c r="B66" s="89"/>
      <c r="C66" s="90"/>
      <c r="D66" s="91" t="s">
        <v>11</v>
      </c>
      <c r="E66" s="92">
        <f t="shared" si="8"/>
        <v>0</v>
      </c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4">
        <f t="shared" si="9"/>
        <v>0</v>
      </c>
      <c r="AE66" s="7"/>
    </row>
    <row r="67" spans="1:31" s="8" customFormat="1" ht="17.25" customHeight="1" thickTop="1">
      <c r="A67" s="7"/>
      <c r="B67" s="20"/>
      <c r="C67" s="20"/>
      <c r="D67" s="7"/>
      <c r="E67" s="7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7"/>
      <c r="AE67" s="7"/>
    </row>
    <row r="68" spans="1:31" s="8" customFormat="1" ht="29.25" customHeight="1">
      <c r="A68" s="7"/>
      <c r="B68" s="96" t="s">
        <v>64</v>
      </c>
      <c r="C68" s="20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7"/>
    </row>
    <row r="69" spans="1:31" s="8" customFormat="1" ht="21.75" customHeight="1">
      <c r="A69" s="7"/>
      <c r="B69" s="24"/>
      <c r="C69" s="25"/>
      <c r="D69" s="98"/>
      <c r="E69" s="98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7"/>
    </row>
    <row r="70" spans="1:31" s="8" customFormat="1" ht="6" customHeight="1">
      <c r="A70" s="7"/>
      <c r="B70" s="20"/>
      <c r="C70" s="20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7"/>
    </row>
    <row r="71" spans="1:31" s="8" customFormat="1" ht="51" customHeight="1">
      <c r="A71" s="7"/>
      <c r="B71" s="20"/>
      <c r="C71" s="25"/>
      <c r="D71" s="98"/>
      <c r="E71" s="98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7"/>
    </row>
    <row r="72" spans="1:31" s="8" customFormat="1" ht="3" customHeight="1">
      <c r="A72" s="7"/>
      <c r="B72" s="20"/>
      <c r="C72" s="20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7"/>
    </row>
    <row r="73" spans="1:31" s="8" customFormat="1" ht="51.75" customHeight="1">
      <c r="A73" s="7"/>
      <c r="B73" s="24"/>
      <c r="C73" s="20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7"/>
    </row>
    <row r="74" spans="1:31" ht="26.25" customHeight="1"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</row>
    <row r="75" spans="1:31" ht="28.5" customHeight="1"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</row>
    <row r="76" spans="1:31" ht="2.25" customHeight="1"/>
  </sheetData>
  <mergeCells count="12">
    <mergeCell ref="B2:AD2"/>
    <mergeCell ref="B5:B7"/>
    <mergeCell ref="C5:D7"/>
    <mergeCell ref="E5:E7"/>
    <mergeCell ref="F5:AC5"/>
    <mergeCell ref="AD5:AD7"/>
    <mergeCell ref="D74:AD74"/>
    <mergeCell ref="D75:AD75"/>
    <mergeCell ref="C8:D8"/>
    <mergeCell ref="C9:D9"/>
    <mergeCell ref="C39:D39"/>
    <mergeCell ref="C40:D40"/>
  </mergeCells>
  <printOptions horizontalCentered="1"/>
  <pageMargins left="0.2" right="0.19" top="0.5" bottom="0.25" header="0.2" footer="0.22"/>
  <pageSetup paperSize="9" scale="48" fitToHeight="2" orientation="landscape" r:id="rId1"/>
  <headerFooter alignWithMargins="0">
    <oddHeader>&amp;L&amp;"arial"&amp;10&amp;K737373ADNOC Classification: Internal&amp;1#</oddHeader>
    <oddFooter>&amp;L&amp;7&amp;F &amp;R&amp;P of  &amp;N</oddFooter>
  </headerFooter>
  <rowBreaks count="1" manualBreakCount="1">
    <brk id="38" max="3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Attach-3</vt:lpstr>
      <vt:lpstr>'Attach-3'!Print_Area</vt:lpstr>
      <vt:lpstr>'Attach-3'!Print_Titles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2021-02-19T19:38:29Z</cp:lastPrinted>
  <dcterms:created xsi:type="dcterms:W3CDTF">2009-12-09T05:58:12Z</dcterms:created>
  <dcterms:modified xsi:type="dcterms:W3CDTF">2021-02-20T11:01:32Z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1922da-9067-4dbd-8d25-c43985959204_Enabled">
    <vt:lpwstr>True</vt:lpwstr>
  </property>
  <property fmtid="{D5CDD505-2E9C-101B-9397-08002B2CF9AE}" pid="3" name="MSIP_Label_711922da-9067-4dbd-8d25-c43985959204_SiteId">
    <vt:lpwstr>74892fe7-b6cb-43e7-912b-52194d3fd7c8</vt:lpwstr>
  </property>
  <property fmtid="{D5CDD505-2E9C-101B-9397-08002B2CF9AE}" pid="4" name="MSIP_Label_711922da-9067-4dbd-8d25-c43985959204_Owner">
    <vt:lpwstr>jtayyath@adnoc.ae</vt:lpwstr>
  </property>
  <property fmtid="{D5CDD505-2E9C-101B-9397-08002B2CF9AE}" pid="5" name="MSIP_Label_711922da-9067-4dbd-8d25-c43985959204_SetDate">
    <vt:lpwstr>2021-02-19T19:46:46.0040977Z</vt:lpwstr>
  </property>
  <property fmtid="{D5CDD505-2E9C-101B-9397-08002B2CF9AE}" pid="6" name="MSIP_Label_711922da-9067-4dbd-8d25-c43985959204_Name">
    <vt:lpwstr>Internal</vt:lpwstr>
  </property>
  <property fmtid="{D5CDD505-2E9C-101B-9397-08002B2CF9AE}" pid="7" name="MSIP_Label_711922da-9067-4dbd-8d25-c43985959204_Application">
    <vt:lpwstr>Microsoft Azure Information Protection</vt:lpwstr>
  </property>
  <property fmtid="{D5CDD505-2E9C-101B-9397-08002B2CF9AE}" pid="8" name="MSIP_Label_711922da-9067-4dbd-8d25-c43985959204_ActionId">
    <vt:lpwstr>febf3051-8b58-4197-bca2-138c36e75b0e</vt:lpwstr>
  </property>
  <property fmtid="{D5CDD505-2E9C-101B-9397-08002B2CF9AE}" pid="9" name="MSIP_Label_711922da-9067-4dbd-8d25-c43985959204_Extended_MSFT_Method">
    <vt:lpwstr>Automatic</vt:lpwstr>
  </property>
  <property fmtid="{D5CDD505-2E9C-101B-9397-08002B2CF9AE}" pid="10" name="Sensitivity">
    <vt:lpwstr>Internal</vt:lpwstr>
  </property>
</Properties>
</file>